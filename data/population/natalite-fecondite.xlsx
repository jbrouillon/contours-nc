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isee.local\public\DOCUMENTS\SCD\4_Publications\1_Site\POPULATION\Démographie\naissances-fécondité\"/>
    </mc:Choice>
  </mc:AlternateContent>
  <xr:revisionPtr revIDLastSave="0" documentId="13_ncr:1_{DE364E8B-3520-40C0-8A4D-69208A62F9D1}" xr6:coauthVersionLast="47" xr6:coauthVersionMax="47" xr10:uidLastSave="{00000000-0000-0000-0000-000000000000}"/>
  <bookViews>
    <workbookView xWindow="28680" yWindow="-120" windowWidth="29040" windowHeight="15720" tabRatio="722" xr2:uid="{00000000-000D-0000-FFFF-FFFF00000000}"/>
  </bookViews>
  <sheets>
    <sheet name="Sommaire" sheetId="8" r:id="rId1"/>
    <sheet name="Fécondité" sheetId="1" r:id="rId2"/>
    <sheet name="Naissances_mois" sheetId="7" r:id="rId3"/>
    <sheet name="Naissances_statut" sheetId="6" r:id="rId4"/>
    <sheet name="Naissances_commune domicile" sheetId="2" r:id="rId5"/>
    <sheet name="Naissances_âge de la mère" sheetId="4" r:id="rId6"/>
    <sheet name="Taux Fécondité_âge de la mère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7" i="4" l="1"/>
  <c r="AH16" i="4"/>
  <c r="AH15" i="4"/>
  <c r="AH14" i="4"/>
  <c r="AH13" i="4"/>
  <c r="AH12" i="4"/>
  <c r="AH11" i="4"/>
  <c r="AH10" i="4"/>
  <c r="AH9" i="4"/>
  <c r="AB17" i="4"/>
  <c r="AE17" i="4"/>
  <c r="AB16" i="4"/>
  <c r="AE15" i="4" l="1"/>
  <c r="AE14" i="4"/>
  <c r="AE13" i="4"/>
  <c r="AE12" i="4"/>
  <c r="AE11" i="4"/>
  <c r="AE10" i="4"/>
  <c r="AE9" i="4"/>
  <c r="AB15" i="4"/>
  <c r="AB14" i="4"/>
  <c r="AB13" i="4"/>
  <c r="AB12" i="4"/>
  <c r="AB11" i="4"/>
  <c r="AB10" i="4"/>
  <c r="AB9" i="4"/>
  <c r="Y15" i="4"/>
  <c r="Y14" i="4"/>
  <c r="Y13" i="4"/>
  <c r="Y12" i="4"/>
  <c r="Y11" i="4"/>
  <c r="Y10" i="4"/>
  <c r="Y9" i="4"/>
  <c r="V15" i="4"/>
  <c r="V14" i="4"/>
  <c r="V13" i="4"/>
  <c r="V12" i="4"/>
  <c r="V11" i="4"/>
  <c r="V10" i="4"/>
  <c r="V9" i="4"/>
  <c r="S15" i="4"/>
  <c r="S14" i="4"/>
  <c r="S13" i="4"/>
  <c r="S12" i="4"/>
  <c r="S11" i="4"/>
  <c r="S10" i="4"/>
  <c r="S9" i="4"/>
  <c r="P15" i="4"/>
  <c r="P14" i="4"/>
  <c r="P13" i="4"/>
  <c r="P12" i="4"/>
  <c r="P11" i="4"/>
  <c r="P10" i="4"/>
  <c r="P9" i="4"/>
  <c r="M15" i="4"/>
  <c r="M14" i="4"/>
  <c r="M13" i="4"/>
  <c r="M12" i="4"/>
  <c r="M11" i="4"/>
  <c r="M10" i="4"/>
  <c r="M9" i="4"/>
  <c r="J15" i="4"/>
  <c r="J14" i="4"/>
  <c r="J13" i="4"/>
  <c r="J12" i="4"/>
  <c r="J11" i="4"/>
  <c r="J10" i="4"/>
  <c r="J9" i="4"/>
  <c r="G15" i="4"/>
  <c r="G14" i="4"/>
  <c r="G13" i="4"/>
  <c r="G12" i="4"/>
  <c r="G11" i="4"/>
  <c r="G10" i="4"/>
  <c r="G9" i="4"/>
  <c r="D10" i="4"/>
  <c r="D11" i="4"/>
  <c r="D12" i="4"/>
  <c r="D13" i="4"/>
  <c r="D14" i="4"/>
  <c r="D15" i="4"/>
  <c r="D9" i="4"/>
</calcChain>
</file>

<file path=xl/sharedStrings.xml><?xml version="1.0" encoding="utf-8"?>
<sst xmlns="http://schemas.openxmlformats.org/spreadsheetml/2006/main" count="280" uniqueCount="113">
  <si>
    <t>Fécondité selon l'âge de la mère</t>
  </si>
  <si>
    <t>nd</t>
  </si>
  <si>
    <t xml:space="preserve"> LIFOU</t>
  </si>
  <si>
    <t xml:space="preserve"> MARE</t>
  </si>
  <si>
    <t xml:space="preserve"> OUVEA</t>
  </si>
  <si>
    <t xml:space="preserve"> BELEP</t>
  </si>
  <si>
    <t xml:space="preserve"> CANALA</t>
  </si>
  <si>
    <t xml:space="preserve"> HIENGHENE</t>
  </si>
  <si>
    <t xml:space="preserve"> HOUAILOU</t>
  </si>
  <si>
    <t xml:space="preserve"> KAALA-GOMEN</t>
  </si>
  <si>
    <t xml:space="preserve"> KONE</t>
  </si>
  <si>
    <t xml:space="preserve"> KOUMAC</t>
  </si>
  <si>
    <t xml:space="preserve"> OUEGOA</t>
  </si>
  <si>
    <t xml:space="preserve"> POINDIMIE</t>
  </si>
  <si>
    <t xml:space="preserve"> PONERIHOUEN</t>
  </si>
  <si>
    <t xml:space="preserve"> POUEBO</t>
  </si>
  <si>
    <t xml:space="preserve"> POUEMBOUT</t>
  </si>
  <si>
    <t xml:space="preserve"> POUM</t>
  </si>
  <si>
    <t xml:space="preserve"> POYA</t>
  </si>
  <si>
    <t xml:space="preserve"> TOUHO</t>
  </si>
  <si>
    <t xml:space="preserve"> VOH</t>
  </si>
  <si>
    <t>KOUAOUA</t>
  </si>
  <si>
    <t xml:space="preserve"> BOULOUPARIS</t>
  </si>
  <si>
    <t xml:space="preserve"> BOURAIL</t>
  </si>
  <si>
    <t xml:space="preserve"> DUMBEA</t>
  </si>
  <si>
    <t xml:space="preserve"> FARINO</t>
  </si>
  <si>
    <t xml:space="preserve"> ILES DES PINS</t>
  </si>
  <si>
    <t xml:space="preserve"> LA FOA</t>
  </si>
  <si>
    <t xml:space="preserve"> MOINDOU</t>
  </si>
  <si>
    <t xml:space="preserve"> MONT-DORE</t>
  </si>
  <si>
    <t xml:space="preserve"> NOUMEA</t>
  </si>
  <si>
    <t xml:space="preserve"> PAITA</t>
  </si>
  <si>
    <t xml:space="preserve"> SARRAMEA</t>
  </si>
  <si>
    <t xml:space="preserve"> THIO</t>
  </si>
  <si>
    <t xml:space="preserve"> YATE</t>
  </si>
  <si>
    <t>ENSEMBLE</t>
  </si>
  <si>
    <t>Ensemble</t>
  </si>
  <si>
    <t>Année</t>
  </si>
  <si>
    <t>15 à 19 ans</t>
  </si>
  <si>
    <t>20 à 24 ans</t>
  </si>
  <si>
    <t>25 à 29 ans</t>
  </si>
  <si>
    <t>30 à 34 ans</t>
  </si>
  <si>
    <t>35 à 39 ans</t>
  </si>
  <si>
    <t>40 à 44 ans</t>
  </si>
  <si>
    <t>45 à 49 ans</t>
  </si>
  <si>
    <t>Enfants nés vivants par commune de domicile de la mère</t>
  </si>
  <si>
    <t>Âge</t>
  </si>
  <si>
    <t>Âge moyen 
à la maternité</t>
  </si>
  <si>
    <t>Nombre de femmes 
de 15-49 ans</t>
  </si>
  <si>
    <t>Garçons</t>
  </si>
  <si>
    <t>Filles</t>
  </si>
  <si>
    <t>Communes</t>
  </si>
  <si>
    <t>Nombre de
naissances</t>
  </si>
  <si>
    <t>Nombre de
femmes de 
15-49 ans</t>
  </si>
  <si>
    <t>Nombre de
naissances vivantes</t>
  </si>
  <si>
    <t>Source : Etat Civil - Isee</t>
  </si>
  <si>
    <t>Unité : Nombre</t>
  </si>
  <si>
    <t xml:space="preserve">Nombre de garçons nés
 vivants </t>
  </si>
  <si>
    <t>Nombre de
filles nées vivantes</t>
  </si>
  <si>
    <t>Unité : ‰</t>
  </si>
  <si>
    <t>MÉTROPOLE</t>
  </si>
  <si>
    <t>ÉTRANGER</t>
  </si>
  <si>
    <t>HORS NC</t>
  </si>
  <si>
    <t>TOTAL NC</t>
  </si>
  <si>
    <t>DOM-COM</t>
  </si>
  <si>
    <t>Taux de fécondité selon l'âge de la mère (tranches quinquennales)</t>
  </si>
  <si>
    <t>Évolution de la fécondité</t>
  </si>
  <si>
    <t>Enfants nés vivants, par genre et selon l'âge de la mère</t>
  </si>
  <si>
    <t>PROVINCE ILES LOYAUTÉ</t>
  </si>
  <si>
    <t>PROVINCE NORD</t>
  </si>
  <si>
    <t>PROVINCE SUD</t>
  </si>
  <si>
    <t>Total Naissances</t>
  </si>
  <si>
    <t>Statut coutumier</t>
  </si>
  <si>
    <t>Statut commun</t>
  </si>
  <si>
    <t xml:space="preserve">Source : ISEE - Etat Civil 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</si>
  <si>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</si>
  <si>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</si>
  <si>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</si>
  <si>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</si>
  <si>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</si>
  <si>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</si>
  <si>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</si>
  <si>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</si>
  <si>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</si>
  <si>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</si>
  <si>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</si>
  <si>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</si>
  <si>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Naissances vivantes annuelles par mois de la naissance en Nouvelle-Calédonie</t>
  </si>
  <si>
    <t>Naissances selon le statut d'état civil</t>
  </si>
  <si>
    <t>Naissances</t>
  </si>
  <si>
    <t>Fécondité</t>
  </si>
  <si>
    <t>Naissances_mois</t>
  </si>
  <si>
    <t>Naissances_statut</t>
  </si>
  <si>
    <t>Naissances_commune domicile</t>
  </si>
  <si>
    <t>Naissances_âge de la mère</t>
  </si>
  <si>
    <t>Taux Fécondité_âge de la mère</t>
  </si>
  <si>
    <t>2023</t>
  </si>
  <si>
    <t>Taux de natalité 
(‰)</t>
  </si>
  <si>
    <r>
      <t xml:space="preserve">Indicateur conjoncturel
de fécondité 
</t>
    </r>
    <r>
      <rPr>
        <b/>
        <i/>
        <sz val="12"/>
        <rFont val="Aptos"/>
        <family val="2"/>
      </rPr>
      <t>(nb d'enfants)</t>
    </r>
  </si>
  <si>
    <t>Unités : Nombre ; ‰</t>
  </si>
  <si>
    <t>(P) : provisoire</t>
  </si>
  <si>
    <t>Non renseigné : l'information n'est pas renseignée dans les données sources dématérialisées</t>
  </si>
  <si>
    <t>NON RENSEIGNE*</t>
  </si>
  <si>
    <t>Non renseigné</t>
  </si>
  <si>
    <t xml:space="preserve">Source :  ISEE - Etat Civil </t>
  </si>
  <si>
    <t>Taux de fécondité selon l'âge de la mère (tranches quinquennales)
Évolution de la fécondité</t>
  </si>
  <si>
    <t>Naissances et fécondité</t>
  </si>
  <si>
    <t xml:space="preserve">Total </t>
  </si>
  <si>
    <t>Taux de natalité</t>
  </si>
  <si>
    <t>2025 (P)</t>
  </si>
  <si>
    <t>50 ans et +</t>
  </si>
  <si>
    <t>Données mises à jour le : 29/05/2026</t>
  </si>
  <si>
    <t>(nd) : non disponible dans l'attente des résultats du recensement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</si>
</sst>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#,##0.0"/>
    <numFmt numFmtId="165" formatCode="0.0"/>
    <numFmt numFmtId="166" formatCode="_-* #,##0.00[$€]_-;\-* #,##0.00[$€]_-;_-* &quot;-&quot;??[$€]_-;_-@_-"/>
    <numFmt numFmtId="167" formatCode="#,##0\ [$€];[Red]\-#,##0\ [$€]"/>
    <numFmt numFmtId="168" formatCode="_-* #,##0_-;\-* #,##0_-;_-* &quot;-&quot;??_-;_-@_-"/>
  </numFmts>
  <fonts count="42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MS Sans Serif"/>
      <family val="2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ptos"/>
      <family val="2"/>
    </font>
    <font>
      <sz val="10"/>
      <name val="Geneva"/>
    </font>
    <font>
      <b/>
      <sz val="24"/>
      <color rgb="FF2F4C88"/>
      <name val="Aptos"/>
      <family val="2"/>
    </font>
    <font>
      <i/>
      <sz val="11"/>
      <color rgb="FF000000"/>
      <name val="Aptos"/>
      <family val="2"/>
    </font>
    <font>
      <b/>
      <i/>
      <sz val="11"/>
      <name val="Aptos"/>
      <family val="2"/>
    </font>
    <font>
      <sz val="11"/>
      <name val="Aptos"/>
      <family val="2"/>
    </font>
    <font>
      <sz val="12"/>
      <color theme="1"/>
      <name val="Aptos"/>
      <family val="2"/>
    </font>
    <font>
      <b/>
      <sz val="11"/>
      <name val="Aptos"/>
      <family val="2"/>
    </font>
    <font>
      <b/>
      <sz val="13"/>
      <color theme="0"/>
      <name val="Aptos"/>
      <family val="2"/>
    </font>
    <font>
      <sz val="11"/>
      <color theme="1"/>
      <name val="Aptos"/>
      <family val="2"/>
    </font>
    <font>
      <sz val="11"/>
      <color rgb="FFFF0000"/>
      <name val="Aptos"/>
      <family val="2"/>
    </font>
    <font>
      <i/>
      <sz val="10"/>
      <name val="Aptos"/>
      <family val="2"/>
    </font>
    <font>
      <b/>
      <sz val="11"/>
      <color theme="1"/>
      <name val="Aptos"/>
      <family val="2"/>
    </font>
    <font>
      <b/>
      <sz val="11"/>
      <color theme="0"/>
      <name val="Aptos"/>
      <family val="2"/>
    </font>
    <font>
      <b/>
      <sz val="12"/>
      <color theme="0"/>
      <name val="Aptos"/>
      <family val="2"/>
    </font>
    <font>
      <b/>
      <sz val="12"/>
      <name val="Aptos"/>
      <family val="2"/>
    </font>
    <font>
      <i/>
      <sz val="11"/>
      <color theme="1"/>
      <name val="Aptos"/>
      <family val="2"/>
    </font>
    <font>
      <b/>
      <sz val="15"/>
      <name val="Aptos"/>
      <family val="2"/>
    </font>
    <font>
      <b/>
      <i/>
      <sz val="12"/>
      <name val="Aptos"/>
      <family val="2"/>
    </font>
    <font>
      <i/>
      <sz val="11"/>
      <name val="Apto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  <font>
      <sz val="10"/>
      <name val="Verdana"/>
      <family val="2"/>
    </font>
    <font>
      <sz val="9"/>
      <name val="Geneva"/>
    </font>
    <font>
      <u/>
      <sz val="9"/>
      <color indexed="12"/>
      <name val="Geneva"/>
    </font>
    <font>
      <sz val="10"/>
      <color theme="1"/>
      <name val="Calibri"/>
      <family val="2"/>
      <scheme val="minor"/>
    </font>
    <font>
      <sz val="10"/>
      <color theme="1"/>
      <name val="Aptos"/>
      <family val="2"/>
    </font>
    <font>
      <b/>
      <sz val="20"/>
      <color theme="1"/>
      <name val="Aptos"/>
      <family val="2"/>
    </font>
    <font>
      <b/>
      <u/>
      <sz val="11"/>
      <color rgb="FF2F4C88"/>
      <name val="Aptos"/>
      <family val="2"/>
    </font>
    <font>
      <b/>
      <sz val="24"/>
      <color rgb="FFFF0000"/>
      <name val="Aptos"/>
      <family val="2"/>
    </font>
    <font>
      <b/>
      <sz val="11"/>
      <color rgb="FFFF0000"/>
      <name val="Calibri"/>
      <family val="2"/>
      <scheme val="minor"/>
    </font>
    <font>
      <sz val="14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A1728"/>
        <bgColor indexed="64"/>
      </patternFill>
    </fill>
    <fill>
      <patternFill patternType="solid">
        <fgColor rgb="FF2F4C88"/>
        <bgColor indexed="64"/>
      </patternFill>
    </fill>
    <fill>
      <patternFill patternType="solid">
        <fgColor rgb="FF2F4C88"/>
        <bgColor theme="4" tint="0.79998168889431442"/>
      </patternFill>
    </fill>
    <fill>
      <patternFill patternType="solid">
        <fgColor rgb="FFCCF7FF"/>
        <bgColor indexed="64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theme="4" tint="0.39988402966399123"/>
      </top>
      <bottom/>
      <diagonal/>
    </border>
    <border>
      <left style="thin">
        <color theme="4" tint="0.39994506668294322"/>
      </left>
      <right/>
      <top/>
      <bottom/>
      <diagonal/>
    </border>
    <border>
      <left style="thin">
        <color theme="4" tint="0.39994506668294322"/>
      </left>
      <right/>
      <top style="medium">
        <color theme="4" tint="0.39988402966399123"/>
      </top>
      <bottom/>
      <diagonal/>
    </border>
    <border>
      <left/>
      <right style="thin">
        <color theme="4" tint="0.59996337778862885"/>
      </right>
      <top/>
      <bottom/>
      <diagonal/>
    </border>
    <border>
      <left style="thin">
        <color theme="4" tint="0.59996337778862885"/>
      </left>
      <right/>
      <top/>
      <bottom/>
      <diagonal/>
    </border>
    <border>
      <left style="thin">
        <color theme="4" tint="0.59996337778862885"/>
      </left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8">
    <xf numFmtId="0" fontId="0" fillId="0" borderId="0"/>
    <xf numFmtId="0" fontId="3" fillId="0" borderId="0"/>
    <xf numFmtId="0" fontId="3" fillId="0" borderId="0"/>
    <xf numFmtId="0" fontId="5" fillId="0" borderId="0"/>
    <xf numFmtId="0" fontId="9" fillId="0" borderId="0"/>
    <xf numFmtId="0" fontId="29" fillId="0" borderId="10" applyNumberFormat="0" applyFill="0" applyAlignment="0" applyProtection="0"/>
    <xf numFmtId="0" fontId="30" fillId="7" borderId="0" applyNumberFormat="0" applyBorder="0" applyAlignment="0" applyProtection="0"/>
    <xf numFmtId="0" fontId="30" fillId="8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1" borderId="0" applyNumberFormat="0" applyBorder="0" applyAlignment="0" applyProtection="0"/>
    <xf numFmtId="0" fontId="30" fillId="12" borderId="0" applyNumberFormat="0" applyBorder="0" applyAlignment="0" applyProtection="0"/>
    <xf numFmtId="0" fontId="28" fillId="6" borderId="9" applyNumberFormat="0" applyFont="0" applyAlignment="0" applyProtection="0"/>
    <xf numFmtId="0" fontId="31" fillId="6" borderId="9" applyNumberFormat="0" applyFont="0" applyAlignment="0" applyProtection="0"/>
    <xf numFmtId="166" fontId="3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34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32" fillId="0" borderId="0"/>
    <xf numFmtId="0" fontId="32" fillId="0" borderId="0"/>
    <xf numFmtId="0" fontId="28" fillId="0" borderId="0"/>
    <xf numFmtId="0" fontId="35" fillId="0" borderId="0">
      <alignment vertical="center"/>
    </xf>
    <xf numFmtId="0" fontId="33" fillId="0" borderId="0"/>
    <xf numFmtId="0" fontId="5" fillId="0" borderId="0"/>
    <xf numFmtId="0" fontId="28" fillId="0" borderId="0"/>
    <xf numFmtId="0" fontId="5" fillId="0" borderId="0"/>
    <xf numFmtId="43" fontId="28" fillId="0" borderId="0" applyFont="0" applyFill="0" applyBorder="0" applyAlignment="0" applyProtection="0"/>
  </cellStyleXfs>
  <cellXfs count="98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8" fillId="2" borderId="0" xfId="3" applyFont="1" applyFill="1"/>
    <xf numFmtId="0" fontId="0" fillId="2" borderId="0" xfId="0" applyFill="1"/>
    <xf numFmtId="0" fontId="10" fillId="0" borderId="0" xfId="4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3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165" fontId="13" fillId="0" borderId="0" xfId="0" applyNumberFormat="1" applyFont="1" applyAlignment="1">
      <alignment horizontal="right"/>
    </xf>
    <xf numFmtId="0" fontId="15" fillId="0" borderId="1" xfId="0" applyFont="1" applyBorder="1" applyAlignment="1">
      <alignment horizontal="center"/>
    </xf>
    <xf numFmtId="3" fontId="13" fillId="0" borderId="1" xfId="0" applyNumberFormat="1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165" fontId="13" fillId="0" borderId="1" xfId="0" applyNumberFormat="1" applyFont="1" applyBorder="1" applyAlignment="1">
      <alignment horizontal="right"/>
    </xf>
    <xf numFmtId="0" fontId="16" fillId="3" borderId="0" xfId="0" applyFont="1" applyFill="1" applyAlignment="1">
      <alignment horizontal="center" vertical="center" wrapText="1"/>
    </xf>
    <xf numFmtId="0" fontId="7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right"/>
    </xf>
    <xf numFmtId="0" fontId="22" fillId="4" borderId="8" xfId="0" applyFont="1" applyFill="1" applyBorder="1" applyAlignment="1">
      <alignment vertical="center"/>
    </xf>
    <xf numFmtId="49" fontId="22" fillId="4" borderId="8" xfId="0" applyNumberFormat="1" applyFont="1" applyFill="1" applyBorder="1" applyAlignment="1">
      <alignment horizontal="right" vertical="center"/>
    </xf>
    <xf numFmtId="0" fontId="17" fillId="0" borderId="0" xfId="0" applyFont="1" applyAlignment="1">
      <alignment vertical="center"/>
    </xf>
    <xf numFmtId="0" fontId="23" fillId="5" borderId="6" xfId="0" applyFont="1" applyFill="1" applyBorder="1" applyAlignment="1">
      <alignment horizontal="center" vertical="center" wrapText="1"/>
    </xf>
    <xf numFmtId="0" fontId="23" fillId="5" borderId="0" xfId="0" applyFont="1" applyFill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3" fontId="17" fillId="0" borderId="6" xfId="0" applyNumberFormat="1" applyFont="1" applyBorder="1"/>
    <xf numFmtId="3" fontId="17" fillId="0" borderId="0" xfId="0" applyNumberFormat="1" applyFont="1"/>
    <xf numFmtId="3" fontId="17" fillId="0" borderId="5" xfId="0" applyNumberFormat="1" applyFont="1" applyBorder="1"/>
    <xf numFmtId="0" fontId="21" fillId="3" borderId="1" xfId="0" applyFont="1" applyFill="1" applyBorder="1" applyAlignment="1">
      <alignment horizontal="center"/>
    </xf>
    <xf numFmtId="3" fontId="21" fillId="3" borderId="7" xfId="0" applyNumberFormat="1" applyFont="1" applyFill="1" applyBorder="1" applyAlignment="1">
      <alignment horizontal="right"/>
    </xf>
    <xf numFmtId="0" fontId="20" fillId="0" borderId="0" xfId="0" applyFont="1"/>
    <xf numFmtId="0" fontId="16" fillId="3" borderId="0" xfId="0" applyFont="1" applyFill="1" applyAlignment="1">
      <alignment horizontal="center" wrapText="1"/>
    </xf>
    <xf numFmtId="0" fontId="16" fillId="3" borderId="3" xfId="0" applyFont="1" applyFill="1" applyBorder="1" applyAlignment="1">
      <alignment horizontal="center" wrapText="1"/>
    </xf>
    <xf numFmtId="0" fontId="13" fillId="0" borderId="0" xfId="0" applyFont="1" applyAlignment="1">
      <alignment horizontal="left"/>
    </xf>
    <xf numFmtId="3" fontId="13" fillId="0" borderId="3" xfId="0" applyNumberFormat="1" applyFont="1" applyBorder="1" applyAlignment="1">
      <alignment horizontal="right"/>
    </xf>
    <xf numFmtId="0" fontId="13" fillId="0" borderId="2" xfId="0" applyFont="1" applyBorder="1" applyAlignment="1">
      <alignment horizontal="left"/>
    </xf>
    <xf numFmtId="3" fontId="13" fillId="0" borderId="4" xfId="0" applyNumberFormat="1" applyFont="1" applyBorder="1" applyAlignment="1">
      <alignment horizontal="right"/>
    </xf>
    <xf numFmtId="0" fontId="15" fillId="5" borderId="0" xfId="0" applyFont="1" applyFill="1" applyAlignment="1">
      <alignment horizontal="left"/>
    </xf>
    <xf numFmtId="3" fontId="15" fillId="5" borderId="0" xfId="0" applyNumberFormat="1" applyFont="1" applyFill="1" applyAlignment="1">
      <alignment horizontal="right"/>
    </xf>
    <xf numFmtId="0" fontId="15" fillId="0" borderId="0" xfId="0" applyFont="1" applyAlignment="1">
      <alignment horizontal="left"/>
    </xf>
    <xf numFmtId="3" fontId="15" fillId="0" borderId="0" xfId="0" applyNumberFormat="1" applyFont="1" applyAlignment="1">
      <alignment horizontal="right"/>
    </xf>
    <xf numFmtId="0" fontId="21" fillId="3" borderId="0" xfId="0" applyFont="1" applyFill="1" applyAlignment="1">
      <alignment horizontal="left" vertical="center"/>
    </xf>
    <xf numFmtId="3" fontId="21" fillId="3" borderId="0" xfId="0" applyNumberFormat="1" applyFont="1" applyFill="1" applyAlignment="1">
      <alignment horizontal="right" vertical="center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vertical="top"/>
    </xf>
    <xf numFmtId="2" fontId="17" fillId="0" borderId="0" xfId="0" applyNumberFormat="1" applyFont="1"/>
    <xf numFmtId="20" fontId="17" fillId="0" borderId="0" xfId="0" applyNumberFormat="1" applyFont="1"/>
    <xf numFmtId="0" fontId="17" fillId="0" borderId="5" xfId="0" applyFont="1" applyBorder="1" applyAlignment="1">
      <alignment horizontal="center"/>
    </xf>
    <xf numFmtId="164" fontId="13" fillId="0" borderId="0" xfId="0" applyNumberFormat="1" applyFont="1" applyAlignment="1">
      <alignment horizontal="right"/>
    </xf>
    <xf numFmtId="0" fontId="21" fillId="3" borderId="0" xfId="0" applyFont="1" applyFill="1" applyAlignment="1">
      <alignment horizontal="center"/>
    </xf>
    <xf numFmtId="164" fontId="21" fillId="3" borderId="0" xfId="0" applyNumberFormat="1" applyFont="1" applyFill="1" applyAlignment="1">
      <alignment horizontal="right"/>
    </xf>
    <xf numFmtId="0" fontId="8" fillId="0" borderId="0" xfId="0" applyFont="1" applyAlignment="1">
      <alignment horizontal="left"/>
    </xf>
    <xf numFmtId="0" fontId="25" fillId="0" borderId="0" xfId="0" applyFont="1" applyAlignment="1">
      <alignment horizontal="center"/>
    </xf>
    <xf numFmtId="4" fontId="13" fillId="0" borderId="0" xfId="0" applyNumberFormat="1" applyFont="1" applyAlignment="1">
      <alignment horizontal="right" vertical="center"/>
    </xf>
    <xf numFmtId="164" fontId="13" fillId="0" borderId="0" xfId="0" applyNumberFormat="1" applyFont="1" applyAlignment="1">
      <alignment horizontal="right" vertical="center"/>
    </xf>
    <xf numFmtId="0" fontId="23" fillId="0" borderId="1" xfId="0" applyFont="1" applyBorder="1" applyAlignment="1">
      <alignment horizontal="center" vertical="center" wrapText="1"/>
    </xf>
    <xf numFmtId="164" fontId="13" fillId="0" borderId="1" xfId="0" applyNumberFormat="1" applyFont="1" applyBorder="1" applyAlignment="1">
      <alignment horizontal="right" vertical="center"/>
    </xf>
    <xf numFmtId="3" fontId="17" fillId="0" borderId="1" xfId="0" applyNumberFormat="1" applyFont="1" applyBorder="1" applyAlignment="1">
      <alignment horizontal="right" vertical="center"/>
    </xf>
    <xf numFmtId="164" fontId="13" fillId="0" borderId="0" xfId="0" applyNumberFormat="1" applyFont="1" applyAlignment="1">
      <alignment horizontal="center"/>
    </xf>
    <xf numFmtId="4" fontId="27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4" fontId="13" fillId="0" borderId="1" xfId="0" applyNumberFormat="1" applyFont="1" applyBorder="1" applyAlignment="1">
      <alignment horizontal="right" vertical="center"/>
    </xf>
    <xf numFmtId="0" fontId="38" fillId="0" borderId="0" xfId="17" applyFont="1" applyAlignment="1" applyProtection="1">
      <alignment vertical="center"/>
    </xf>
    <xf numFmtId="0" fontId="5" fillId="0" borderId="0" xfId="3"/>
    <xf numFmtId="0" fontId="8" fillId="0" borderId="0" xfId="3" applyFont="1" applyAlignment="1">
      <alignment vertical="center"/>
    </xf>
    <xf numFmtId="0" fontId="8" fillId="0" borderId="0" xfId="3" applyFont="1" applyAlignment="1">
      <alignment vertical="center" wrapText="1"/>
    </xf>
    <xf numFmtId="0" fontId="24" fillId="0" borderId="0" xfId="23" applyFont="1" applyAlignment="1">
      <alignment horizontal="left" vertical="center"/>
    </xf>
    <xf numFmtId="0" fontId="36" fillId="0" borderId="0" xfId="3" applyFont="1" applyAlignment="1">
      <alignment vertical="center" wrapText="1"/>
    </xf>
    <xf numFmtId="0" fontId="12" fillId="0" borderId="0" xfId="3" applyFont="1" applyAlignment="1">
      <alignment horizontal="left" vertical="center"/>
    </xf>
    <xf numFmtId="0" fontId="13" fillId="0" borderId="0" xfId="17" applyFont="1" applyAlignment="1" applyProtection="1">
      <alignment vertical="center" wrapText="1"/>
    </xf>
    <xf numFmtId="0" fontId="39" fillId="0" borderId="0" xfId="4" applyFont="1" applyAlignment="1">
      <alignment horizontal="left" vertical="center"/>
    </xf>
    <xf numFmtId="168" fontId="13" fillId="0" borderId="0" xfId="27" applyNumberFormat="1" applyFont="1" applyAlignment="1">
      <alignment horizontal="right"/>
    </xf>
    <xf numFmtId="168" fontId="13" fillId="0" borderId="1" xfId="27" applyNumberFormat="1" applyFont="1" applyBorder="1" applyAlignment="1">
      <alignment horizontal="right"/>
    </xf>
    <xf numFmtId="0" fontId="40" fillId="0" borderId="0" xfId="0" applyFont="1"/>
    <xf numFmtId="0" fontId="13" fillId="0" borderId="0" xfId="17" applyFont="1" applyFill="1" applyAlignment="1" applyProtection="1">
      <alignment vertical="center" wrapText="1"/>
    </xf>
    <xf numFmtId="0" fontId="41" fillId="0" borderId="0" xfId="0" applyFont="1"/>
    <xf numFmtId="168" fontId="13" fillId="0" borderId="0" xfId="27" applyNumberFormat="1" applyFont="1" applyFill="1" applyAlignment="1">
      <alignment horizontal="right"/>
    </xf>
    <xf numFmtId="168" fontId="1" fillId="0" borderId="0" xfId="0" applyNumberFormat="1" applyFont="1"/>
    <xf numFmtId="0" fontId="17" fillId="13" borderId="11" xfId="0" applyFont="1" applyFill="1" applyBorder="1" applyAlignment="1">
      <alignment horizontal="center"/>
    </xf>
    <xf numFmtId="0" fontId="22" fillId="4" borderId="8" xfId="0" applyFont="1" applyFill="1" applyBorder="1" applyAlignment="1">
      <alignment horizontal="right" vertical="center"/>
    </xf>
    <xf numFmtId="3" fontId="13" fillId="0" borderId="2" xfId="0" applyNumberFormat="1" applyFont="1" applyBorder="1" applyAlignment="1">
      <alignment horizontal="right"/>
    </xf>
    <xf numFmtId="0" fontId="37" fillId="0" borderId="0" xfId="3" applyFont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</cellXfs>
  <cellStyles count="28">
    <cellStyle name="Accent1" xfId="6" builtinId="29" customBuiltin="1"/>
    <cellStyle name="Accent2" xfId="7" builtinId="33" customBuiltin="1"/>
    <cellStyle name="Accent3" xfId="8" builtinId="37" customBuiltin="1"/>
    <cellStyle name="Accent4" xfId="9" builtinId="41" customBuiltin="1"/>
    <cellStyle name="Accent5" xfId="10" builtinId="45" customBuiltin="1"/>
    <cellStyle name="Accent6" xfId="11" builtinId="49" customBuiltin="1"/>
    <cellStyle name="Commentaire 2" xfId="12" xr:uid="{D30DF48A-13C3-4413-9AFB-6A9A4924D4F4}"/>
    <cellStyle name="Commentaire 2 2" xfId="13" xr:uid="{1B9D2161-6B3A-438C-A325-80A5FE1A9873}"/>
    <cellStyle name="Euro" xfId="14" xr:uid="{DEA4C5CB-CC81-41A6-8FB6-070D84AA4136}"/>
    <cellStyle name="Euro 2" xfId="15" xr:uid="{04F6DB4D-45C8-4A6F-BAAA-9F9114550501}"/>
    <cellStyle name="Euro 3" xfId="16" xr:uid="{5D99E082-F7FA-485A-8600-65152CA1CC0D}"/>
    <cellStyle name="Lien hypertexte 2" xfId="17" xr:uid="{206EE1AA-7A27-4E99-A11A-CD4208EA8472}"/>
    <cellStyle name="Milliers" xfId="27" builtinId="3"/>
    <cellStyle name="Normal" xfId="0" builtinId="0"/>
    <cellStyle name="Normal 2" xfId="2" xr:uid="{440807D8-9167-4FD5-96BC-C618A2A26164}"/>
    <cellStyle name="Normal 2 2" xfId="19" xr:uid="{F1395C43-21CE-46D1-9F39-C9EFD3DF60A1}"/>
    <cellStyle name="Normal 2 2 2" xfId="20" xr:uid="{72A4E2FC-689F-4A05-8E79-5DE79AA57406}"/>
    <cellStyle name="Normal 2 2 2 2" xfId="1" xr:uid="{00000000-0005-0000-0000-000001000000}"/>
    <cellStyle name="Normal 2 3" xfId="21" xr:uid="{F83E5E03-3888-4C9F-9301-17C280C43C00}"/>
    <cellStyle name="Normal 2 4" xfId="18" xr:uid="{64085581-6404-4AA5-A6C1-0C1AE6BBB38E}"/>
    <cellStyle name="Normal 3" xfId="3" xr:uid="{B2CD130A-FE3D-4D11-8C2C-25DF0E1B5647}"/>
    <cellStyle name="Normal 3 2" xfId="23" xr:uid="{904BEC8B-D21C-4F9B-A817-0633064888DC}"/>
    <cellStyle name="Normal 3 3" xfId="22" xr:uid="{E3E9A39E-9D92-42AB-B768-90D91C834FD8}"/>
    <cellStyle name="Normal 4" xfId="4" xr:uid="{A64B87C3-74D6-4BE9-9750-6733F34C1659}"/>
    <cellStyle name="Normal 4 2" xfId="24" xr:uid="{622FD223-51D0-4B95-A0ED-6042067D2C64}"/>
    <cellStyle name="Normal 5" xfId="25" xr:uid="{A1EE5921-4466-4966-8A9F-9FAA0D6F72D8}"/>
    <cellStyle name="Normal 6" xfId="26" xr:uid="{EE612839-97DB-4E21-933A-41C09599199A}"/>
    <cellStyle name="Total" xfId="5" builtinId="25" customBuiltin="1"/>
  </cellStyles>
  <dxfs count="0"/>
  <tableStyles count="0" defaultTableStyle="TableStyleMedium2" defaultPivotStyle="PivotStyleLight16"/>
  <colors>
    <mruColors>
      <color rgb="FF2F4C88"/>
      <color rgb="FFCCF7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9525</xdr:colOff>
      <xdr:row>1</xdr:row>
      <xdr:rowOff>8369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3366F46-E42D-4AC8-8DED-DC76229B1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r="19590"/>
        <a:stretch/>
      </xdr:blipFill>
      <xdr:spPr>
        <a:xfrm>
          <a:off x="0" y="0"/>
          <a:ext cx="7791450" cy="14561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D44F6-ECBB-4903-BC88-DB3C247BB13E}">
  <sheetPr codeName="Feuil7"/>
  <dimension ref="A1:D16"/>
  <sheetViews>
    <sheetView tabSelected="1" workbookViewId="0">
      <selection activeCell="B4" sqref="B4"/>
    </sheetView>
  </sheetViews>
  <sheetFormatPr baseColWidth="10" defaultRowHeight="15"/>
  <cols>
    <col min="1" max="1" width="3.85546875" customWidth="1"/>
    <col min="2" max="2" width="35" customWidth="1"/>
    <col min="3" max="3" width="77.85546875" customWidth="1"/>
  </cols>
  <sheetData>
    <row r="1" spans="1:4" ht="114" customHeight="1"/>
    <row r="2" spans="1:4" ht="26.25">
      <c r="A2" s="94" t="s">
        <v>106</v>
      </c>
      <c r="B2" s="94"/>
      <c r="C2" s="94"/>
    </row>
    <row r="3" spans="1:4">
      <c r="A3" s="76"/>
      <c r="B3" s="79" t="s">
        <v>104</v>
      </c>
      <c r="C3" s="80"/>
    </row>
    <row r="4" spans="1:4">
      <c r="A4" s="77"/>
      <c r="B4" s="81" t="s">
        <v>111</v>
      </c>
      <c r="C4" s="78"/>
    </row>
    <row r="6" spans="1:4">
      <c r="B6" s="75" t="s">
        <v>90</v>
      </c>
      <c r="C6" s="87" t="s">
        <v>0</v>
      </c>
      <c r="D6" s="86"/>
    </row>
    <row r="8" spans="1:4">
      <c r="B8" s="75" t="s">
        <v>91</v>
      </c>
      <c r="C8" s="82" t="s">
        <v>87</v>
      </c>
    </row>
    <row r="10" spans="1:4">
      <c r="B10" s="75" t="s">
        <v>92</v>
      </c>
      <c r="C10" s="82" t="s">
        <v>88</v>
      </c>
    </row>
    <row r="12" spans="1:4">
      <c r="B12" s="75" t="s">
        <v>93</v>
      </c>
      <c r="C12" s="82" t="s">
        <v>45</v>
      </c>
    </row>
    <row r="14" spans="1:4">
      <c r="B14" s="75" t="s">
        <v>94</v>
      </c>
      <c r="C14" s="82" t="s">
        <v>67</v>
      </c>
    </row>
    <row r="16" spans="1:4" ht="30">
      <c r="B16" s="75" t="s">
        <v>95</v>
      </c>
      <c r="C16" s="82" t="s">
        <v>105</v>
      </c>
      <c r="D16" s="86"/>
    </row>
  </sheetData>
  <sheetProtection algorithmName="SHA-512" hashValue="ZbkQaEIZbm99mxfjzU7lZxprYJ4PXJUWI2tVFr04lt7jmiYAByym3gifmFMkRJXyGt1M8OIBfjJEq5m341z0/A==" saltValue="+JNpwn97loWn5+Hcb6c2vw==" spinCount="100000" sheet="1" objects="1" scenarios="1"/>
  <mergeCells count="1">
    <mergeCell ref="A2:C2"/>
  </mergeCells>
  <hyperlinks>
    <hyperlink ref="B6" location="'Fécondité'!A1" display="Fécondité" xr:uid="{AC92D05F-CB7E-47F2-93B1-7C2063D2C44B}"/>
    <hyperlink ref="B8" location="'Naissances_mois'!A1" display="Naissances_mois" xr:uid="{A8FE46E1-1B7F-4946-AF32-74F35B1D5F06}"/>
    <hyperlink ref="B10" location="'Naissances_statut'!A1" display="Naissances_statut" xr:uid="{13B8E189-E440-4D05-9ADC-58BD151B2784}"/>
    <hyperlink ref="B12" location="'Naissances_commune domicile'!A1" display="Naissances_commune domicile" xr:uid="{C686EC3B-EBF8-4851-8EC6-074AC9D13E51}"/>
    <hyperlink ref="B14" location="'Naissances_âge de la mère'!A1" display="Naissances_âge de la mère" xr:uid="{7CE86624-F489-494C-A796-E48D06BDB835}"/>
    <hyperlink ref="B16" location="'Taux Fécondité_âge de la mère'!A1" display="Taux Fécondité_âge de la mère" xr:uid="{C8555E38-5AD6-442D-9196-9FB63B32A721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X71"/>
  <sheetViews>
    <sheetView workbookViewId="0"/>
  </sheetViews>
  <sheetFormatPr baseColWidth="10" defaultRowHeight="15"/>
  <cols>
    <col min="1" max="7" width="15.85546875" style="1" customWidth="1"/>
    <col min="8" max="8" width="11.42578125" style="1"/>
    <col min="9" max="9" width="12.85546875" style="1" customWidth="1"/>
    <col min="10" max="16384" width="11.42578125" style="1"/>
  </cols>
  <sheetData>
    <row r="1" spans="1:24" s="9" customFormat="1" ht="30" customHeight="1">
      <c r="A1" s="8"/>
    </row>
    <row r="2" spans="1:24" customFormat="1" ht="31.5">
      <c r="A2" s="10" t="s">
        <v>108</v>
      </c>
      <c r="B2" s="10"/>
      <c r="C2" s="10"/>
      <c r="D2" s="10"/>
      <c r="E2" s="10"/>
      <c r="F2" s="10"/>
      <c r="G2" s="83"/>
      <c r="H2" s="83"/>
      <c r="I2" s="83"/>
      <c r="J2" s="83"/>
      <c r="K2" s="10"/>
    </row>
    <row r="3" spans="1:24" ht="18.75">
      <c r="G3" s="88"/>
    </row>
    <row r="4" spans="1:24">
      <c r="A4" s="11" t="s">
        <v>55</v>
      </c>
      <c r="B4" s="12"/>
      <c r="C4" s="12"/>
      <c r="D4" s="12"/>
      <c r="E4" s="12"/>
      <c r="F4" s="12"/>
      <c r="G4" s="12"/>
      <c r="R4" s="23"/>
      <c r="S4" s="23"/>
      <c r="T4" s="23"/>
      <c r="U4" s="23"/>
      <c r="V4" s="23"/>
      <c r="W4" s="23"/>
      <c r="X4" s="23"/>
    </row>
    <row r="5" spans="1:24">
      <c r="A5" s="81" t="s">
        <v>111</v>
      </c>
      <c r="B5" s="12"/>
      <c r="C5" s="12"/>
      <c r="D5" s="12"/>
      <c r="E5" s="12"/>
      <c r="F5" s="12"/>
      <c r="G5" s="12"/>
    </row>
    <row r="6" spans="1:24" s="6" customFormat="1" ht="15.75">
      <c r="A6" s="11"/>
      <c r="B6" s="13"/>
      <c r="C6" s="13"/>
      <c r="D6" s="13"/>
      <c r="E6" s="13"/>
      <c r="F6" s="13"/>
      <c r="G6" s="13"/>
    </row>
    <row r="7" spans="1:24" ht="51.75">
      <c r="A7" s="22" t="s">
        <v>37</v>
      </c>
      <c r="B7" s="22" t="s">
        <v>53</v>
      </c>
      <c r="C7" s="22" t="s">
        <v>52</v>
      </c>
      <c r="D7" s="22" t="s">
        <v>57</v>
      </c>
      <c r="E7" s="22" t="s">
        <v>58</v>
      </c>
      <c r="F7" s="22" t="s">
        <v>54</v>
      </c>
      <c r="G7" s="22" t="s">
        <v>97</v>
      </c>
      <c r="J7" s="7"/>
      <c r="K7" s="7"/>
    </row>
    <row r="8" spans="1:24" ht="17.100000000000001" customHeight="1">
      <c r="A8" s="14" t="s">
        <v>109</v>
      </c>
      <c r="B8" s="15" t="s">
        <v>1</v>
      </c>
      <c r="C8" s="89">
        <v>3273</v>
      </c>
      <c r="D8" s="84">
        <v>1655</v>
      </c>
      <c r="E8" s="84">
        <v>1582</v>
      </c>
      <c r="F8" s="84">
        <v>3237</v>
      </c>
      <c r="G8" s="15" t="s">
        <v>1</v>
      </c>
    </row>
    <row r="9" spans="1:24" ht="17.100000000000001" customHeight="1">
      <c r="A9" s="14">
        <v>2024</v>
      </c>
      <c r="B9" s="15" t="s">
        <v>1</v>
      </c>
      <c r="C9" s="89">
        <v>3588</v>
      </c>
      <c r="D9" s="84">
        <v>1839</v>
      </c>
      <c r="E9" s="84">
        <v>1713</v>
      </c>
      <c r="F9" s="84">
        <v>3552</v>
      </c>
      <c r="G9" s="15" t="s">
        <v>1</v>
      </c>
      <c r="I9" s="90"/>
    </row>
    <row r="10" spans="1:24" ht="17.100000000000001" customHeight="1">
      <c r="A10" s="14">
        <v>2023</v>
      </c>
      <c r="B10" s="15" t="s">
        <v>1</v>
      </c>
      <c r="C10" s="84">
        <v>3718</v>
      </c>
      <c r="D10" s="84">
        <v>1938</v>
      </c>
      <c r="E10" s="84">
        <v>1750</v>
      </c>
      <c r="F10" s="84">
        <v>3688</v>
      </c>
      <c r="G10" s="15" t="s">
        <v>1</v>
      </c>
      <c r="I10" s="90"/>
    </row>
    <row r="11" spans="1:24" ht="17.100000000000001" customHeight="1">
      <c r="A11" s="14">
        <v>2022</v>
      </c>
      <c r="B11" s="15">
        <v>67448</v>
      </c>
      <c r="C11" s="84">
        <v>3850</v>
      </c>
      <c r="D11" s="84">
        <v>2020</v>
      </c>
      <c r="E11" s="84">
        <v>1785</v>
      </c>
      <c r="F11" s="84">
        <v>3805</v>
      </c>
      <c r="G11" s="17">
        <v>14.1</v>
      </c>
      <c r="I11" s="90"/>
    </row>
    <row r="12" spans="1:24" ht="17.100000000000001" customHeight="1">
      <c r="A12" s="14">
        <v>2021</v>
      </c>
      <c r="B12" s="15">
        <v>68236</v>
      </c>
      <c r="C12" s="84">
        <v>3958</v>
      </c>
      <c r="D12" s="84">
        <v>2079</v>
      </c>
      <c r="E12" s="84">
        <v>1852</v>
      </c>
      <c r="F12" s="84">
        <v>3931</v>
      </c>
      <c r="G12" s="17">
        <v>14.5</v>
      </c>
      <c r="I12" s="90"/>
    </row>
    <row r="13" spans="1:24" ht="17.100000000000001" customHeight="1">
      <c r="A13" s="14">
        <v>2020</v>
      </c>
      <c r="B13" s="15">
        <v>68793</v>
      </c>
      <c r="C13" s="84">
        <v>4019</v>
      </c>
      <c r="D13" s="84">
        <v>2038</v>
      </c>
      <c r="E13" s="84">
        <v>1953</v>
      </c>
      <c r="F13" s="84">
        <v>3991</v>
      </c>
      <c r="G13" s="17">
        <v>14.7</v>
      </c>
    </row>
    <row r="14" spans="1:24" ht="17.100000000000001" customHeight="1">
      <c r="A14" s="14">
        <v>2019</v>
      </c>
      <c r="B14" s="15">
        <v>69427</v>
      </c>
      <c r="C14" s="84">
        <v>4130</v>
      </c>
      <c r="D14" s="84">
        <v>2133</v>
      </c>
      <c r="E14" s="84">
        <v>1977</v>
      </c>
      <c r="F14" s="84">
        <v>4110</v>
      </c>
      <c r="G14" s="17">
        <v>15.2</v>
      </c>
    </row>
    <row r="15" spans="1:24" ht="17.100000000000001" customHeight="1">
      <c r="A15" s="14">
        <v>2018</v>
      </c>
      <c r="B15" s="15">
        <v>69998</v>
      </c>
      <c r="C15" s="84">
        <v>4114</v>
      </c>
      <c r="D15" s="84">
        <v>2122</v>
      </c>
      <c r="E15" s="84">
        <v>1954</v>
      </c>
      <c r="F15" s="84">
        <v>4076</v>
      </c>
      <c r="G15" s="17">
        <v>15</v>
      </c>
    </row>
    <row r="16" spans="1:24" ht="17.100000000000001" customHeight="1">
      <c r="A16" s="14">
        <v>2017</v>
      </c>
      <c r="B16" s="15">
        <v>70362</v>
      </c>
      <c r="C16" s="84">
        <v>4129</v>
      </c>
      <c r="D16" s="84">
        <v>2107</v>
      </c>
      <c r="E16" s="84">
        <v>1960</v>
      </c>
      <c r="F16" s="84">
        <v>4067</v>
      </c>
      <c r="G16" s="17">
        <v>15</v>
      </c>
    </row>
    <row r="17" spans="1:7" ht="17.100000000000001" customHeight="1">
      <c r="A17" s="14">
        <v>2016</v>
      </c>
      <c r="B17" s="15">
        <v>70760</v>
      </c>
      <c r="C17" s="84">
        <v>4375</v>
      </c>
      <c r="D17" s="84">
        <v>2195</v>
      </c>
      <c r="E17" s="84">
        <v>2076</v>
      </c>
      <c r="F17" s="84">
        <v>4271</v>
      </c>
      <c r="G17" s="17">
        <v>15.8</v>
      </c>
    </row>
    <row r="18" spans="1:7" ht="17.100000000000001" customHeight="1">
      <c r="A18" s="14">
        <v>2015</v>
      </c>
      <c r="B18" s="15">
        <v>70945</v>
      </c>
      <c r="C18" s="84">
        <v>4287</v>
      </c>
      <c r="D18" s="84">
        <v>2086</v>
      </c>
      <c r="E18" s="84">
        <v>2105</v>
      </c>
      <c r="F18" s="84">
        <v>4191</v>
      </c>
      <c r="G18" s="17">
        <v>15.6</v>
      </c>
    </row>
    <row r="19" spans="1:7" ht="17.100000000000001" customHeight="1">
      <c r="A19" s="14">
        <v>2014</v>
      </c>
      <c r="B19" s="15">
        <v>70166</v>
      </c>
      <c r="C19" s="84">
        <v>4443</v>
      </c>
      <c r="D19" s="84">
        <v>2200</v>
      </c>
      <c r="E19" s="84">
        <v>2170</v>
      </c>
      <c r="F19" s="84">
        <v>4370</v>
      </c>
      <c r="G19" s="17">
        <v>16.302928558104831</v>
      </c>
    </row>
    <row r="20" spans="1:7" ht="17.100000000000001" customHeight="1">
      <c r="A20" s="14">
        <v>2013</v>
      </c>
      <c r="B20" s="15">
        <v>69022</v>
      </c>
      <c r="C20" s="84">
        <v>4439</v>
      </c>
      <c r="D20" s="84">
        <v>2286</v>
      </c>
      <c r="E20" s="84">
        <v>2087</v>
      </c>
      <c r="F20" s="84">
        <v>4373</v>
      </c>
      <c r="G20" s="17">
        <v>16.586383462924331</v>
      </c>
    </row>
    <row r="21" spans="1:7" ht="17.100000000000001" customHeight="1">
      <c r="A21" s="14">
        <v>2012</v>
      </c>
      <c r="B21" s="15">
        <v>67170.5</v>
      </c>
      <c r="C21" s="84">
        <v>4445</v>
      </c>
      <c r="D21" s="84">
        <v>2303</v>
      </c>
      <c r="E21" s="84">
        <v>2086</v>
      </c>
      <c r="F21" s="84">
        <v>4389</v>
      </c>
      <c r="G21" s="17">
        <v>16.945945945945947</v>
      </c>
    </row>
    <row r="22" spans="1:7" ht="17.100000000000001" customHeight="1">
      <c r="A22" s="14">
        <v>2011</v>
      </c>
      <c r="B22" s="15">
        <v>66275</v>
      </c>
      <c r="C22" s="84">
        <v>4159</v>
      </c>
      <c r="D22" s="84">
        <v>2095</v>
      </c>
      <c r="E22" s="84">
        <v>2024</v>
      </c>
      <c r="F22" s="84">
        <v>4119</v>
      </c>
      <c r="G22" s="17">
        <v>16.194220562217417</v>
      </c>
    </row>
    <row r="23" spans="1:7" ht="17.100000000000001" customHeight="1">
      <c r="A23" s="14">
        <v>2010</v>
      </c>
      <c r="B23" s="15">
        <v>66144</v>
      </c>
      <c r="C23" s="84">
        <v>4234</v>
      </c>
      <c r="D23" s="84">
        <v>2178</v>
      </c>
      <c r="E23" s="84">
        <v>2000</v>
      </c>
      <c r="F23" s="84">
        <v>4178</v>
      </c>
      <c r="G23" s="17">
        <v>16.728728728728729</v>
      </c>
    </row>
    <row r="24" spans="1:7" ht="17.100000000000001" customHeight="1">
      <c r="A24" s="14">
        <v>2009</v>
      </c>
      <c r="B24" s="15" t="s">
        <v>1</v>
      </c>
      <c r="C24" s="84">
        <v>4163</v>
      </c>
      <c r="D24" s="84">
        <v>2175</v>
      </c>
      <c r="E24" s="84">
        <v>1928</v>
      </c>
      <c r="F24" s="84">
        <v>4103</v>
      </c>
      <c r="G24" s="17">
        <v>16.682252490343565</v>
      </c>
    </row>
    <row r="25" spans="1:7" ht="17.100000000000001" customHeight="1">
      <c r="A25" s="14">
        <v>2008</v>
      </c>
      <c r="B25" s="15" t="s">
        <v>1</v>
      </c>
      <c r="C25" s="84">
        <v>4072</v>
      </c>
      <c r="D25" s="84">
        <v>2075</v>
      </c>
      <c r="E25" s="84">
        <v>1940</v>
      </c>
      <c r="F25" s="84">
        <v>4015</v>
      </c>
      <c r="G25" s="17">
        <v>16.539649845520081</v>
      </c>
    </row>
    <row r="26" spans="1:7" ht="17.100000000000001" customHeight="1">
      <c r="A26" s="14">
        <v>2007</v>
      </c>
      <c r="B26" s="15" t="s">
        <v>1</v>
      </c>
      <c r="C26" s="84">
        <v>4138</v>
      </c>
      <c r="D26" s="84">
        <v>2106</v>
      </c>
      <c r="E26" s="84">
        <v>1987</v>
      </c>
      <c r="F26" s="84">
        <v>4093</v>
      </c>
      <c r="G26" s="17">
        <v>17.10762800417973</v>
      </c>
    </row>
    <row r="27" spans="1:7" ht="17.100000000000001" customHeight="1">
      <c r="A27" s="14">
        <v>2006</v>
      </c>
      <c r="B27" s="15" t="s">
        <v>1</v>
      </c>
      <c r="C27" s="84">
        <v>4268</v>
      </c>
      <c r="D27" s="84">
        <v>2185</v>
      </c>
      <c r="E27" s="84">
        <v>2039</v>
      </c>
      <c r="F27" s="84">
        <v>4224</v>
      </c>
      <c r="G27" s="17">
        <v>17.91728525980912</v>
      </c>
    </row>
    <row r="28" spans="1:7" ht="17.100000000000001" customHeight="1">
      <c r="A28" s="18">
        <v>2005</v>
      </c>
      <c r="B28" s="19" t="s">
        <v>1</v>
      </c>
      <c r="C28" s="85">
        <v>4106</v>
      </c>
      <c r="D28" s="85">
        <v>2086</v>
      </c>
      <c r="E28" s="85">
        <v>1965</v>
      </c>
      <c r="F28" s="85">
        <v>4051</v>
      </c>
      <c r="G28" s="21">
        <v>17.442411194833156</v>
      </c>
    </row>
    <row r="29" spans="1:7" ht="17.100000000000001" customHeight="1"/>
    <row r="30" spans="1:7" ht="17.100000000000001" customHeight="1">
      <c r="A30" s="11" t="s">
        <v>99</v>
      </c>
    </row>
    <row r="31" spans="1:7" ht="17.100000000000001" customHeight="1">
      <c r="A31" s="1" t="s">
        <v>100</v>
      </c>
    </row>
    <row r="32" spans="1:7" ht="17.100000000000001" customHeight="1">
      <c r="A32" s="1" t="s">
        <v>112</v>
      </c>
    </row>
    <row r="33" ht="17.100000000000001" customHeight="1"/>
    <row r="34" ht="17.100000000000001" customHeight="1"/>
    <row r="35" ht="17.100000000000001" customHeight="1"/>
    <row r="36" ht="17.100000000000001" customHeight="1"/>
    <row r="37" ht="17.100000000000001" customHeight="1"/>
    <row r="38" ht="17.100000000000001" customHeight="1"/>
    <row r="39" ht="17.100000000000001" customHeight="1"/>
    <row r="40" ht="17.100000000000001" customHeight="1"/>
    <row r="41" ht="17.100000000000001" customHeight="1"/>
    <row r="42" ht="17.100000000000001" customHeight="1"/>
    <row r="43" ht="17.100000000000001" customHeight="1"/>
    <row r="44" ht="17.100000000000001" customHeight="1"/>
    <row r="45" ht="17.100000000000001" customHeight="1"/>
    <row r="46" ht="17.100000000000001" customHeight="1"/>
    <row r="47" ht="17.100000000000001" customHeight="1"/>
    <row r="48" ht="17.100000000000001" customHeight="1"/>
    <row r="49" ht="17.100000000000001" customHeight="1"/>
    <row r="50" ht="17.100000000000001" customHeight="1"/>
    <row r="51" ht="17.100000000000001" customHeight="1"/>
    <row r="52" ht="17.100000000000001" customHeight="1"/>
    <row r="53" ht="17.100000000000001" customHeight="1"/>
    <row r="54" ht="17.100000000000001" customHeight="1"/>
    <row r="55" ht="17.100000000000001" customHeight="1"/>
    <row r="56" ht="17.100000000000001" customHeight="1"/>
    <row r="57" ht="17.100000000000001" customHeight="1"/>
    <row r="58" ht="17.100000000000001" customHeight="1"/>
    <row r="59" ht="17.100000000000001" customHeight="1"/>
    <row r="60" ht="17.100000000000001" customHeight="1"/>
    <row r="61" ht="17.100000000000001" customHeight="1"/>
    <row r="62" ht="17.100000000000001" customHeight="1"/>
    <row r="63" ht="17.100000000000001" customHeight="1"/>
    <row r="64" ht="17.100000000000001" customHeight="1"/>
    <row r="65" ht="17.100000000000001" customHeight="1"/>
    <row r="66" ht="17.100000000000001" customHeight="1"/>
    <row r="67" ht="17.100000000000001" customHeight="1"/>
    <row r="68" ht="17.100000000000001" customHeight="1"/>
    <row r="69" ht="17.100000000000001" customHeight="1"/>
    <row r="70" ht="17.100000000000001" customHeight="1"/>
    <row r="71" ht="17.100000000000001" customHeight="1"/>
  </sheetData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A1:Y24"/>
  <sheetViews>
    <sheetView workbookViewId="0">
      <pane xSplit="1" ySplit="7" topLeftCell="B14" activePane="bottomRight" state="frozen"/>
      <selection pane="topRight" activeCell="B1" sqref="B1"/>
      <selection pane="bottomLeft" activeCell="A8" sqref="A8"/>
      <selection pane="bottomRight"/>
    </sheetView>
  </sheetViews>
  <sheetFormatPr baseColWidth="10" defaultRowHeight="15"/>
  <cols>
    <col min="1" max="1" width="14.5703125" style="25" customWidth="1"/>
    <col min="2" max="16384" width="11.42578125" style="25"/>
  </cols>
  <sheetData>
    <row r="1" spans="1:25" s="24" customFormat="1" ht="30" customHeight="1">
      <c r="A1" s="8"/>
    </row>
    <row r="2" spans="1:25" ht="31.5">
      <c r="A2" s="10" t="s">
        <v>87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25" s="12" customFormat="1"/>
    <row r="4" spans="1:25" s="12" customFormat="1">
      <c r="A4" s="11" t="s">
        <v>74</v>
      </c>
      <c r="R4" s="26"/>
      <c r="S4" s="26"/>
      <c r="T4" s="26"/>
      <c r="U4" s="26"/>
      <c r="V4" s="26"/>
      <c r="W4" s="26"/>
      <c r="X4" s="26"/>
      <c r="Y4" s="26"/>
    </row>
    <row r="5" spans="1:25" s="12" customFormat="1">
      <c r="A5" s="81" t="s">
        <v>111</v>
      </c>
    </row>
    <row r="6" spans="1:25" s="13" customFormat="1" ht="15.75">
      <c r="A6" s="27"/>
    </row>
    <row r="7" spans="1:25" s="32" customFormat="1" ht="19.5" customHeight="1">
      <c r="A7" s="30" t="s">
        <v>89</v>
      </c>
      <c r="B7" s="30">
        <v>2005</v>
      </c>
      <c r="C7" s="30">
        <v>2006</v>
      </c>
      <c r="D7" s="30">
        <v>2007</v>
      </c>
      <c r="E7" s="30">
        <v>2008</v>
      </c>
      <c r="F7" s="30">
        <v>2009</v>
      </c>
      <c r="G7" s="30">
        <v>2010</v>
      </c>
      <c r="H7" s="30">
        <v>2011</v>
      </c>
      <c r="I7" s="30">
        <v>2012</v>
      </c>
      <c r="J7" s="30">
        <v>2013</v>
      </c>
      <c r="K7" s="30">
        <v>2014</v>
      </c>
      <c r="L7" s="31">
        <v>2015</v>
      </c>
      <c r="M7" s="31">
        <v>2016</v>
      </c>
      <c r="N7" s="31">
        <v>2017</v>
      </c>
      <c r="O7" s="31">
        <v>2018</v>
      </c>
      <c r="P7" s="31">
        <v>2019</v>
      </c>
      <c r="Q7" s="31">
        <v>2020</v>
      </c>
      <c r="R7" s="31">
        <v>2021</v>
      </c>
      <c r="S7" s="31">
        <v>2022</v>
      </c>
      <c r="T7" s="31" t="s">
        <v>96</v>
      </c>
      <c r="U7" s="92">
        <v>2024</v>
      </c>
      <c r="V7" s="31" t="s">
        <v>109</v>
      </c>
    </row>
    <row r="8" spans="1:25">
      <c r="A8" s="28" t="s">
        <v>75</v>
      </c>
      <c r="B8" s="25">
        <v>351</v>
      </c>
      <c r="C8" s="25">
        <v>331</v>
      </c>
      <c r="D8" s="25">
        <v>296</v>
      </c>
      <c r="E8" s="25">
        <v>343</v>
      </c>
      <c r="F8" s="25">
        <v>332</v>
      </c>
      <c r="G8" s="25">
        <v>342</v>
      </c>
      <c r="H8" s="25">
        <v>323</v>
      </c>
      <c r="I8" s="25">
        <v>339</v>
      </c>
      <c r="J8" s="25">
        <v>356</v>
      </c>
      <c r="K8" s="25">
        <v>343</v>
      </c>
      <c r="L8" s="25">
        <v>363</v>
      </c>
      <c r="M8" s="25">
        <v>360</v>
      </c>
      <c r="N8" s="25">
        <v>321</v>
      </c>
      <c r="O8" s="25">
        <v>336</v>
      </c>
      <c r="P8" s="25">
        <v>353</v>
      </c>
      <c r="Q8" s="25">
        <v>320</v>
      </c>
      <c r="R8" s="25">
        <v>303</v>
      </c>
      <c r="S8" s="25">
        <v>312</v>
      </c>
      <c r="T8" s="25">
        <v>285</v>
      </c>
      <c r="U8">
        <v>315</v>
      </c>
      <c r="V8">
        <v>306</v>
      </c>
    </row>
    <row r="9" spans="1:25">
      <c r="A9" s="28" t="s">
        <v>76</v>
      </c>
      <c r="B9" s="25">
        <v>321</v>
      </c>
      <c r="C9" s="25">
        <v>341</v>
      </c>
      <c r="D9" s="25">
        <v>354</v>
      </c>
      <c r="E9" s="25">
        <v>331</v>
      </c>
      <c r="F9" s="25">
        <v>358</v>
      </c>
      <c r="G9" s="25">
        <v>341</v>
      </c>
      <c r="H9" s="25">
        <v>336</v>
      </c>
      <c r="I9" s="25">
        <v>338</v>
      </c>
      <c r="J9" s="25">
        <v>372</v>
      </c>
      <c r="K9" s="25">
        <v>320</v>
      </c>
      <c r="L9" s="25">
        <v>326</v>
      </c>
      <c r="M9" s="25">
        <v>375</v>
      </c>
      <c r="N9" s="25">
        <v>341</v>
      </c>
      <c r="O9" s="25">
        <v>318</v>
      </c>
      <c r="P9" s="25">
        <v>346</v>
      </c>
      <c r="Q9" s="25">
        <v>323</v>
      </c>
      <c r="R9" s="25">
        <v>322</v>
      </c>
      <c r="S9" s="25">
        <v>335</v>
      </c>
      <c r="T9" s="25">
        <v>294</v>
      </c>
      <c r="U9">
        <v>292</v>
      </c>
      <c r="V9">
        <v>275</v>
      </c>
    </row>
    <row r="10" spans="1:25">
      <c r="A10" s="28" t="s">
        <v>77</v>
      </c>
      <c r="B10" s="25">
        <v>363</v>
      </c>
      <c r="C10" s="25">
        <v>388</v>
      </c>
      <c r="D10" s="25">
        <v>380</v>
      </c>
      <c r="E10" s="25">
        <v>358</v>
      </c>
      <c r="F10" s="25">
        <v>387</v>
      </c>
      <c r="G10" s="25">
        <v>418</v>
      </c>
      <c r="H10" s="25">
        <v>386</v>
      </c>
      <c r="I10" s="25">
        <v>405</v>
      </c>
      <c r="J10" s="25">
        <v>417</v>
      </c>
      <c r="K10" s="25">
        <v>411</v>
      </c>
      <c r="L10" s="25">
        <v>387</v>
      </c>
      <c r="M10" s="25">
        <v>374</v>
      </c>
      <c r="N10" s="25">
        <v>392</v>
      </c>
      <c r="O10" s="25">
        <v>382</v>
      </c>
      <c r="P10" s="25">
        <v>377</v>
      </c>
      <c r="Q10" s="25">
        <v>360</v>
      </c>
      <c r="R10" s="25">
        <v>336</v>
      </c>
      <c r="S10" s="25">
        <v>356</v>
      </c>
      <c r="T10" s="25">
        <v>363</v>
      </c>
      <c r="U10">
        <v>340</v>
      </c>
      <c r="V10">
        <v>301</v>
      </c>
    </row>
    <row r="11" spans="1:25">
      <c r="A11" s="28" t="s">
        <v>78</v>
      </c>
      <c r="B11" s="25">
        <v>364</v>
      </c>
      <c r="C11" s="25">
        <v>372</v>
      </c>
      <c r="D11" s="25">
        <v>366</v>
      </c>
      <c r="E11" s="25">
        <v>369</v>
      </c>
      <c r="F11" s="25">
        <v>402</v>
      </c>
      <c r="G11" s="25">
        <v>371</v>
      </c>
      <c r="H11" s="25">
        <v>369</v>
      </c>
      <c r="I11" s="25">
        <v>439</v>
      </c>
      <c r="J11" s="25">
        <v>353</v>
      </c>
      <c r="K11" s="25">
        <v>382</v>
      </c>
      <c r="L11" s="25">
        <v>374</v>
      </c>
      <c r="M11" s="25">
        <v>392</v>
      </c>
      <c r="N11" s="25">
        <v>342</v>
      </c>
      <c r="O11" s="25">
        <v>369</v>
      </c>
      <c r="P11" s="25">
        <v>373</v>
      </c>
      <c r="Q11" s="25">
        <v>319</v>
      </c>
      <c r="R11" s="25">
        <v>364</v>
      </c>
      <c r="S11" s="25">
        <v>327</v>
      </c>
      <c r="T11" s="25">
        <v>337</v>
      </c>
      <c r="U11">
        <v>342</v>
      </c>
      <c r="V11">
        <v>285</v>
      </c>
    </row>
    <row r="12" spans="1:25">
      <c r="A12" s="28" t="s">
        <v>79</v>
      </c>
      <c r="B12" s="25">
        <v>376</v>
      </c>
      <c r="C12" s="25">
        <v>386</v>
      </c>
      <c r="D12" s="25">
        <v>380</v>
      </c>
      <c r="E12" s="25">
        <v>352</v>
      </c>
      <c r="F12" s="25">
        <v>381</v>
      </c>
      <c r="G12" s="25">
        <v>342</v>
      </c>
      <c r="H12" s="25">
        <v>367</v>
      </c>
      <c r="I12" s="25">
        <v>365</v>
      </c>
      <c r="J12" s="25">
        <v>361</v>
      </c>
      <c r="K12" s="25">
        <v>385</v>
      </c>
      <c r="L12" s="25">
        <v>365</v>
      </c>
      <c r="M12" s="25">
        <v>391</v>
      </c>
      <c r="N12" s="25">
        <v>379</v>
      </c>
      <c r="O12" s="25">
        <v>369</v>
      </c>
      <c r="P12" s="25">
        <v>360</v>
      </c>
      <c r="Q12" s="25">
        <v>363</v>
      </c>
      <c r="R12" s="25">
        <v>347</v>
      </c>
      <c r="S12" s="25">
        <v>352</v>
      </c>
      <c r="T12" s="25">
        <v>352</v>
      </c>
      <c r="U12">
        <v>345</v>
      </c>
      <c r="V12">
        <v>291</v>
      </c>
    </row>
    <row r="13" spans="1:25">
      <c r="A13" s="28" t="s">
        <v>80</v>
      </c>
      <c r="B13" s="25">
        <v>332</v>
      </c>
      <c r="C13" s="25">
        <v>345</v>
      </c>
      <c r="D13" s="25">
        <v>383</v>
      </c>
      <c r="E13" s="25">
        <v>335</v>
      </c>
      <c r="F13" s="25">
        <v>343</v>
      </c>
      <c r="G13" s="25">
        <v>344</v>
      </c>
      <c r="H13" s="25">
        <v>344</v>
      </c>
      <c r="I13" s="25">
        <v>380</v>
      </c>
      <c r="J13" s="25">
        <v>354</v>
      </c>
      <c r="K13" s="25">
        <v>405</v>
      </c>
      <c r="L13" s="25">
        <v>348</v>
      </c>
      <c r="M13" s="25">
        <v>382</v>
      </c>
      <c r="N13" s="25">
        <v>392</v>
      </c>
      <c r="O13" s="25">
        <v>332</v>
      </c>
      <c r="P13" s="25">
        <v>318</v>
      </c>
      <c r="Q13" s="25">
        <v>354</v>
      </c>
      <c r="R13" s="25">
        <v>344</v>
      </c>
      <c r="S13" s="25">
        <v>322</v>
      </c>
      <c r="T13" s="25">
        <v>360</v>
      </c>
      <c r="U13">
        <v>310</v>
      </c>
      <c r="V13">
        <v>280</v>
      </c>
    </row>
    <row r="14" spans="1:25">
      <c r="A14" s="28" t="s">
        <v>81</v>
      </c>
      <c r="B14" s="25">
        <v>319</v>
      </c>
      <c r="C14" s="25">
        <v>375</v>
      </c>
      <c r="D14" s="25">
        <v>364</v>
      </c>
      <c r="E14" s="25">
        <v>334</v>
      </c>
      <c r="F14" s="25">
        <v>354</v>
      </c>
      <c r="G14" s="25">
        <v>347</v>
      </c>
      <c r="H14" s="25">
        <v>386</v>
      </c>
      <c r="I14" s="25">
        <v>398</v>
      </c>
      <c r="J14" s="25">
        <v>386</v>
      </c>
      <c r="K14" s="25">
        <v>408</v>
      </c>
      <c r="L14" s="25">
        <v>342</v>
      </c>
      <c r="M14" s="25">
        <v>388</v>
      </c>
      <c r="N14" s="25">
        <v>369</v>
      </c>
      <c r="O14" s="25">
        <v>354</v>
      </c>
      <c r="P14" s="25">
        <v>475</v>
      </c>
      <c r="Q14" s="25">
        <v>323</v>
      </c>
      <c r="R14" s="25">
        <v>359</v>
      </c>
      <c r="S14" s="25">
        <v>323</v>
      </c>
      <c r="T14" s="25">
        <v>318</v>
      </c>
      <c r="U14">
        <v>306</v>
      </c>
      <c r="V14">
        <v>253</v>
      </c>
    </row>
    <row r="15" spans="1:25">
      <c r="A15" s="28" t="s">
        <v>82</v>
      </c>
      <c r="B15" s="25">
        <v>325</v>
      </c>
      <c r="C15" s="25">
        <v>348</v>
      </c>
      <c r="D15" s="25">
        <v>360</v>
      </c>
      <c r="E15" s="25">
        <v>384</v>
      </c>
      <c r="F15" s="25">
        <v>328</v>
      </c>
      <c r="G15" s="25">
        <v>372</v>
      </c>
      <c r="H15" s="25">
        <v>329</v>
      </c>
      <c r="I15" s="25">
        <v>380</v>
      </c>
      <c r="J15" s="25">
        <v>395</v>
      </c>
      <c r="K15" s="25">
        <v>370</v>
      </c>
      <c r="L15" s="25">
        <v>386</v>
      </c>
      <c r="M15" s="25">
        <v>373</v>
      </c>
      <c r="N15" s="25">
        <v>321</v>
      </c>
      <c r="O15" s="25">
        <v>356</v>
      </c>
      <c r="P15" s="25">
        <v>338</v>
      </c>
      <c r="Q15" s="25">
        <v>369</v>
      </c>
      <c r="R15" s="25">
        <v>343</v>
      </c>
      <c r="S15" s="25">
        <v>311</v>
      </c>
      <c r="T15" s="25">
        <v>306</v>
      </c>
      <c r="U15">
        <v>261</v>
      </c>
      <c r="V15">
        <v>287</v>
      </c>
    </row>
    <row r="16" spans="1:25">
      <c r="A16" s="28" t="s">
        <v>83</v>
      </c>
      <c r="B16" s="25">
        <v>372</v>
      </c>
      <c r="C16" s="25">
        <v>355</v>
      </c>
      <c r="D16" s="25">
        <v>320</v>
      </c>
      <c r="E16" s="25">
        <v>321</v>
      </c>
      <c r="F16" s="25">
        <v>335</v>
      </c>
      <c r="G16" s="25">
        <v>335</v>
      </c>
      <c r="H16" s="25">
        <v>360</v>
      </c>
      <c r="I16" s="25">
        <v>365</v>
      </c>
      <c r="J16" s="25">
        <v>371</v>
      </c>
      <c r="K16" s="25">
        <v>373</v>
      </c>
      <c r="L16" s="25">
        <v>328</v>
      </c>
      <c r="M16" s="25">
        <v>318</v>
      </c>
      <c r="N16" s="25">
        <v>340</v>
      </c>
      <c r="O16" s="25">
        <v>296</v>
      </c>
      <c r="P16" s="25">
        <v>305</v>
      </c>
      <c r="Q16" s="25">
        <v>326</v>
      </c>
      <c r="R16" s="25">
        <v>319</v>
      </c>
      <c r="S16" s="25">
        <v>312</v>
      </c>
      <c r="T16" s="25">
        <v>247</v>
      </c>
      <c r="U16">
        <v>264</v>
      </c>
      <c r="V16">
        <v>214</v>
      </c>
    </row>
    <row r="17" spans="1:22">
      <c r="A17" s="28" t="s">
        <v>84</v>
      </c>
      <c r="B17" s="25">
        <v>303</v>
      </c>
      <c r="C17" s="25">
        <v>334</v>
      </c>
      <c r="D17" s="25">
        <v>322</v>
      </c>
      <c r="E17" s="25">
        <v>291</v>
      </c>
      <c r="F17" s="25">
        <v>308</v>
      </c>
      <c r="G17" s="25">
        <v>304</v>
      </c>
      <c r="H17" s="25">
        <v>338</v>
      </c>
      <c r="I17" s="25">
        <v>342</v>
      </c>
      <c r="J17" s="25">
        <v>337</v>
      </c>
      <c r="K17" s="25">
        <v>335</v>
      </c>
      <c r="L17" s="25">
        <v>316</v>
      </c>
      <c r="M17" s="25">
        <v>320</v>
      </c>
      <c r="N17" s="25">
        <v>320</v>
      </c>
      <c r="O17" s="25">
        <v>320</v>
      </c>
      <c r="P17" s="25">
        <v>289</v>
      </c>
      <c r="Q17" s="25">
        <v>333</v>
      </c>
      <c r="R17" s="25">
        <v>265</v>
      </c>
      <c r="S17" s="25">
        <v>266</v>
      </c>
      <c r="T17" s="29">
        <v>301</v>
      </c>
      <c r="U17">
        <v>260</v>
      </c>
      <c r="V17">
        <v>263</v>
      </c>
    </row>
    <row r="18" spans="1:22">
      <c r="A18" s="28" t="s">
        <v>85</v>
      </c>
      <c r="B18" s="25">
        <v>298</v>
      </c>
      <c r="C18" s="25">
        <v>331</v>
      </c>
      <c r="D18" s="25">
        <v>279</v>
      </c>
      <c r="E18" s="25">
        <v>294</v>
      </c>
      <c r="F18" s="25">
        <v>279</v>
      </c>
      <c r="G18" s="25">
        <v>302</v>
      </c>
      <c r="H18" s="25">
        <v>303</v>
      </c>
      <c r="I18" s="25">
        <v>315</v>
      </c>
      <c r="J18" s="25">
        <v>334</v>
      </c>
      <c r="K18" s="25">
        <v>308</v>
      </c>
      <c r="L18" s="25">
        <v>325</v>
      </c>
      <c r="M18" s="25">
        <v>279</v>
      </c>
      <c r="N18" s="25">
        <v>278</v>
      </c>
      <c r="O18" s="25">
        <v>325</v>
      </c>
      <c r="P18" s="25">
        <v>293</v>
      </c>
      <c r="Q18" s="25">
        <v>309</v>
      </c>
      <c r="R18" s="25">
        <v>292</v>
      </c>
      <c r="S18" s="25">
        <v>273</v>
      </c>
      <c r="T18" s="29">
        <v>265</v>
      </c>
      <c r="U18">
        <v>263</v>
      </c>
      <c r="V18">
        <v>255</v>
      </c>
    </row>
    <row r="19" spans="1:22">
      <c r="A19" s="28" t="s">
        <v>86</v>
      </c>
      <c r="B19" s="25">
        <v>327</v>
      </c>
      <c r="C19" s="25">
        <v>318</v>
      </c>
      <c r="D19" s="25">
        <v>289</v>
      </c>
      <c r="E19" s="25">
        <v>303</v>
      </c>
      <c r="F19" s="25">
        <v>296</v>
      </c>
      <c r="G19" s="25">
        <v>360</v>
      </c>
      <c r="H19" s="25">
        <v>278</v>
      </c>
      <c r="I19" s="25">
        <v>323</v>
      </c>
      <c r="J19" s="25">
        <v>337</v>
      </c>
      <c r="K19" s="25">
        <v>330</v>
      </c>
      <c r="L19" s="25">
        <v>331</v>
      </c>
      <c r="M19" s="25">
        <v>319</v>
      </c>
      <c r="N19" s="25">
        <v>272</v>
      </c>
      <c r="O19" s="25">
        <v>319</v>
      </c>
      <c r="P19" s="25">
        <v>283</v>
      </c>
      <c r="Q19" s="25">
        <v>292</v>
      </c>
      <c r="R19" s="25">
        <v>337</v>
      </c>
      <c r="S19" s="25">
        <v>316</v>
      </c>
      <c r="T19" s="29">
        <v>260</v>
      </c>
      <c r="U19">
        <v>254</v>
      </c>
      <c r="V19">
        <v>227</v>
      </c>
    </row>
    <row r="20" spans="1:22" s="32" customFormat="1" ht="19.5" customHeight="1">
      <c r="A20" s="30" t="s">
        <v>107</v>
      </c>
      <c r="B20" s="30">
        <v>4051</v>
      </c>
      <c r="C20" s="30">
        <v>4224</v>
      </c>
      <c r="D20" s="30">
        <v>4093</v>
      </c>
      <c r="E20" s="30">
        <v>4015</v>
      </c>
      <c r="F20" s="30">
        <v>4103</v>
      </c>
      <c r="G20" s="30">
        <v>4178</v>
      </c>
      <c r="H20" s="30">
        <v>4119</v>
      </c>
      <c r="I20" s="30">
        <v>4389</v>
      </c>
      <c r="J20" s="30">
        <v>4373</v>
      </c>
      <c r="K20" s="30">
        <v>4370</v>
      </c>
      <c r="L20" s="31">
        <v>4191</v>
      </c>
      <c r="M20" s="31">
        <v>4271</v>
      </c>
      <c r="N20" s="31">
        <v>4067</v>
      </c>
      <c r="O20" s="31">
        <v>4076</v>
      </c>
      <c r="P20" s="31">
        <v>4110</v>
      </c>
      <c r="Q20" s="31">
        <v>3991</v>
      </c>
      <c r="R20" s="31">
        <v>3931</v>
      </c>
      <c r="S20" s="31">
        <v>3805</v>
      </c>
      <c r="T20" s="92">
        <v>3688</v>
      </c>
      <c r="U20" s="92">
        <v>3552</v>
      </c>
      <c r="V20" s="92">
        <v>3237</v>
      </c>
    </row>
    <row r="21" spans="1:22">
      <c r="A21" s="28"/>
    </row>
    <row r="22" spans="1:22">
      <c r="A22" s="11" t="s">
        <v>56</v>
      </c>
    </row>
    <row r="23" spans="1:22">
      <c r="A23" s="1" t="s">
        <v>100</v>
      </c>
    </row>
    <row r="24" spans="1:22">
      <c r="A24" s="1"/>
    </row>
  </sheetData>
  <phoneticPr fontId="6" type="noConversion"/>
  <pageMargins left="0.7" right="0.7" top="0.75" bottom="0.75" header="0.3" footer="0.3"/>
  <ignoredErrors>
    <ignoredError sqref="T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>
    <pageSetUpPr fitToPage="1"/>
  </sheetPr>
  <dimension ref="A1:X71"/>
  <sheetViews>
    <sheetView workbookViewId="0"/>
  </sheetViews>
  <sheetFormatPr baseColWidth="10" defaultRowHeight="15"/>
  <cols>
    <col min="1" max="4" width="15.85546875" style="12" customWidth="1"/>
    <col min="5" max="5" width="27.42578125" style="12" bestFit="1" customWidth="1"/>
    <col min="6" max="7" width="15.85546875" style="12" customWidth="1"/>
    <col min="8" max="17" width="11.42578125" style="25"/>
    <col min="18" max="262" width="11.42578125" style="12"/>
    <col min="263" max="263" width="20.7109375" style="12" customWidth="1"/>
    <col min="264" max="270" width="7.7109375" style="12" customWidth="1"/>
    <col min="271" max="271" width="11" style="12" customWidth="1"/>
    <col min="272" max="272" width="13.28515625" style="12" customWidth="1"/>
    <col min="273" max="273" width="12.140625" style="12" customWidth="1"/>
    <col min="274" max="274" width="12.7109375" style="12" customWidth="1"/>
    <col min="275" max="518" width="11.42578125" style="12"/>
    <col min="519" max="519" width="20.7109375" style="12" customWidth="1"/>
    <col min="520" max="526" width="7.7109375" style="12" customWidth="1"/>
    <col min="527" max="527" width="11" style="12" customWidth="1"/>
    <col min="528" max="528" width="13.28515625" style="12" customWidth="1"/>
    <col min="529" max="529" width="12.140625" style="12" customWidth="1"/>
    <col min="530" max="530" width="12.7109375" style="12" customWidth="1"/>
    <col min="531" max="774" width="11.42578125" style="12"/>
    <col min="775" max="775" width="20.7109375" style="12" customWidth="1"/>
    <col min="776" max="782" width="7.7109375" style="12" customWidth="1"/>
    <col min="783" max="783" width="11" style="12" customWidth="1"/>
    <col min="784" max="784" width="13.28515625" style="12" customWidth="1"/>
    <col min="785" max="785" width="12.140625" style="12" customWidth="1"/>
    <col min="786" max="786" width="12.7109375" style="12" customWidth="1"/>
    <col min="787" max="1030" width="11.42578125" style="12"/>
    <col min="1031" max="1031" width="20.7109375" style="12" customWidth="1"/>
    <col min="1032" max="1038" width="7.7109375" style="12" customWidth="1"/>
    <col min="1039" max="1039" width="11" style="12" customWidth="1"/>
    <col min="1040" max="1040" width="13.28515625" style="12" customWidth="1"/>
    <col min="1041" max="1041" width="12.140625" style="12" customWidth="1"/>
    <col min="1042" max="1042" width="12.7109375" style="12" customWidth="1"/>
    <col min="1043" max="1286" width="11.42578125" style="12"/>
    <col min="1287" max="1287" width="20.7109375" style="12" customWidth="1"/>
    <col min="1288" max="1294" width="7.7109375" style="12" customWidth="1"/>
    <col min="1295" max="1295" width="11" style="12" customWidth="1"/>
    <col min="1296" max="1296" width="13.28515625" style="12" customWidth="1"/>
    <col min="1297" max="1297" width="12.140625" style="12" customWidth="1"/>
    <col min="1298" max="1298" width="12.7109375" style="12" customWidth="1"/>
    <col min="1299" max="1542" width="11.42578125" style="12"/>
    <col min="1543" max="1543" width="20.7109375" style="12" customWidth="1"/>
    <col min="1544" max="1550" width="7.7109375" style="12" customWidth="1"/>
    <col min="1551" max="1551" width="11" style="12" customWidth="1"/>
    <col min="1552" max="1552" width="13.28515625" style="12" customWidth="1"/>
    <col min="1553" max="1553" width="12.140625" style="12" customWidth="1"/>
    <col min="1554" max="1554" width="12.7109375" style="12" customWidth="1"/>
    <col min="1555" max="1798" width="11.42578125" style="12"/>
    <col min="1799" max="1799" width="20.7109375" style="12" customWidth="1"/>
    <col min="1800" max="1806" width="7.7109375" style="12" customWidth="1"/>
    <col min="1807" max="1807" width="11" style="12" customWidth="1"/>
    <col min="1808" max="1808" width="13.28515625" style="12" customWidth="1"/>
    <col min="1809" max="1809" width="12.140625" style="12" customWidth="1"/>
    <col min="1810" max="1810" width="12.7109375" style="12" customWidth="1"/>
    <col min="1811" max="2054" width="11.42578125" style="12"/>
    <col min="2055" max="2055" width="20.7109375" style="12" customWidth="1"/>
    <col min="2056" max="2062" width="7.7109375" style="12" customWidth="1"/>
    <col min="2063" max="2063" width="11" style="12" customWidth="1"/>
    <col min="2064" max="2064" width="13.28515625" style="12" customWidth="1"/>
    <col min="2065" max="2065" width="12.140625" style="12" customWidth="1"/>
    <col min="2066" max="2066" width="12.7109375" style="12" customWidth="1"/>
    <col min="2067" max="2310" width="11.42578125" style="12"/>
    <col min="2311" max="2311" width="20.7109375" style="12" customWidth="1"/>
    <col min="2312" max="2318" width="7.7109375" style="12" customWidth="1"/>
    <col min="2319" max="2319" width="11" style="12" customWidth="1"/>
    <col min="2320" max="2320" width="13.28515625" style="12" customWidth="1"/>
    <col min="2321" max="2321" width="12.140625" style="12" customWidth="1"/>
    <col min="2322" max="2322" width="12.7109375" style="12" customWidth="1"/>
    <col min="2323" max="2566" width="11.42578125" style="12"/>
    <col min="2567" max="2567" width="20.7109375" style="12" customWidth="1"/>
    <col min="2568" max="2574" width="7.7109375" style="12" customWidth="1"/>
    <col min="2575" max="2575" width="11" style="12" customWidth="1"/>
    <col min="2576" max="2576" width="13.28515625" style="12" customWidth="1"/>
    <col min="2577" max="2577" width="12.140625" style="12" customWidth="1"/>
    <col min="2578" max="2578" width="12.7109375" style="12" customWidth="1"/>
    <col min="2579" max="2822" width="11.42578125" style="12"/>
    <col min="2823" max="2823" width="20.7109375" style="12" customWidth="1"/>
    <col min="2824" max="2830" width="7.7109375" style="12" customWidth="1"/>
    <col min="2831" max="2831" width="11" style="12" customWidth="1"/>
    <col min="2832" max="2832" width="13.28515625" style="12" customWidth="1"/>
    <col min="2833" max="2833" width="12.140625" style="12" customWidth="1"/>
    <col min="2834" max="2834" width="12.7109375" style="12" customWidth="1"/>
    <col min="2835" max="3078" width="11.42578125" style="12"/>
    <col min="3079" max="3079" width="20.7109375" style="12" customWidth="1"/>
    <col min="3080" max="3086" width="7.7109375" style="12" customWidth="1"/>
    <col min="3087" max="3087" width="11" style="12" customWidth="1"/>
    <col min="3088" max="3088" width="13.28515625" style="12" customWidth="1"/>
    <col min="3089" max="3089" width="12.140625" style="12" customWidth="1"/>
    <col min="3090" max="3090" width="12.7109375" style="12" customWidth="1"/>
    <col min="3091" max="3334" width="11.42578125" style="12"/>
    <col min="3335" max="3335" width="20.7109375" style="12" customWidth="1"/>
    <col min="3336" max="3342" width="7.7109375" style="12" customWidth="1"/>
    <col min="3343" max="3343" width="11" style="12" customWidth="1"/>
    <col min="3344" max="3344" width="13.28515625" style="12" customWidth="1"/>
    <col min="3345" max="3345" width="12.140625" style="12" customWidth="1"/>
    <col min="3346" max="3346" width="12.7109375" style="12" customWidth="1"/>
    <col min="3347" max="3590" width="11.42578125" style="12"/>
    <col min="3591" max="3591" width="20.7109375" style="12" customWidth="1"/>
    <col min="3592" max="3598" width="7.7109375" style="12" customWidth="1"/>
    <col min="3599" max="3599" width="11" style="12" customWidth="1"/>
    <col min="3600" max="3600" width="13.28515625" style="12" customWidth="1"/>
    <col min="3601" max="3601" width="12.140625" style="12" customWidth="1"/>
    <col min="3602" max="3602" width="12.7109375" style="12" customWidth="1"/>
    <col min="3603" max="3846" width="11.42578125" style="12"/>
    <col min="3847" max="3847" width="20.7109375" style="12" customWidth="1"/>
    <col min="3848" max="3854" width="7.7109375" style="12" customWidth="1"/>
    <col min="3855" max="3855" width="11" style="12" customWidth="1"/>
    <col min="3856" max="3856" width="13.28515625" style="12" customWidth="1"/>
    <col min="3857" max="3857" width="12.140625" style="12" customWidth="1"/>
    <col min="3858" max="3858" width="12.7109375" style="12" customWidth="1"/>
    <col min="3859" max="4102" width="11.42578125" style="12"/>
    <col min="4103" max="4103" width="20.7109375" style="12" customWidth="1"/>
    <col min="4104" max="4110" width="7.7109375" style="12" customWidth="1"/>
    <col min="4111" max="4111" width="11" style="12" customWidth="1"/>
    <col min="4112" max="4112" width="13.28515625" style="12" customWidth="1"/>
    <col min="4113" max="4113" width="12.140625" style="12" customWidth="1"/>
    <col min="4114" max="4114" width="12.7109375" style="12" customWidth="1"/>
    <col min="4115" max="4358" width="11.42578125" style="12"/>
    <col min="4359" max="4359" width="20.7109375" style="12" customWidth="1"/>
    <col min="4360" max="4366" width="7.7109375" style="12" customWidth="1"/>
    <col min="4367" max="4367" width="11" style="12" customWidth="1"/>
    <col min="4368" max="4368" width="13.28515625" style="12" customWidth="1"/>
    <col min="4369" max="4369" width="12.140625" style="12" customWidth="1"/>
    <col min="4370" max="4370" width="12.7109375" style="12" customWidth="1"/>
    <col min="4371" max="4614" width="11.42578125" style="12"/>
    <col min="4615" max="4615" width="20.7109375" style="12" customWidth="1"/>
    <col min="4616" max="4622" width="7.7109375" style="12" customWidth="1"/>
    <col min="4623" max="4623" width="11" style="12" customWidth="1"/>
    <col min="4624" max="4624" width="13.28515625" style="12" customWidth="1"/>
    <col min="4625" max="4625" width="12.140625" style="12" customWidth="1"/>
    <col min="4626" max="4626" width="12.7109375" style="12" customWidth="1"/>
    <col min="4627" max="4870" width="11.42578125" style="12"/>
    <col min="4871" max="4871" width="20.7109375" style="12" customWidth="1"/>
    <col min="4872" max="4878" width="7.7109375" style="12" customWidth="1"/>
    <col min="4879" max="4879" width="11" style="12" customWidth="1"/>
    <col min="4880" max="4880" width="13.28515625" style="12" customWidth="1"/>
    <col min="4881" max="4881" width="12.140625" style="12" customWidth="1"/>
    <col min="4882" max="4882" width="12.7109375" style="12" customWidth="1"/>
    <col min="4883" max="5126" width="11.42578125" style="12"/>
    <col min="5127" max="5127" width="20.7109375" style="12" customWidth="1"/>
    <col min="5128" max="5134" width="7.7109375" style="12" customWidth="1"/>
    <col min="5135" max="5135" width="11" style="12" customWidth="1"/>
    <col min="5136" max="5136" width="13.28515625" style="12" customWidth="1"/>
    <col min="5137" max="5137" width="12.140625" style="12" customWidth="1"/>
    <col min="5138" max="5138" width="12.7109375" style="12" customWidth="1"/>
    <col min="5139" max="5382" width="11.42578125" style="12"/>
    <col min="5383" max="5383" width="20.7109375" style="12" customWidth="1"/>
    <col min="5384" max="5390" width="7.7109375" style="12" customWidth="1"/>
    <col min="5391" max="5391" width="11" style="12" customWidth="1"/>
    <col min="5392" max="5392" width="13.28515625" style="12" customWidth="1"/>
    <col min="5393" max="5393" width="12.140625" style="12" customWidth="1"/>
    <col min="5394" max="5394" width="12.7109375" style="12" customWidth="1"/>
    <col min="5395" max="5638" width="11.42578125" style="12"/>
    <col min="5639" max="5639" width="20.7109375" style="12" customWidth="1"/>
    <col min="5640" max="5646" width="7.7109375" style="12" customWidth="1"/>
    <col min="5647" max="5647" width="11" style="12" customWidth="1"/>
    <col min="5648" max="5648" width="13.28515625" style="12" customWidth="1"/>
    <col min="5649" max="5649" width="12.140625" style="12" customWidth="1"/>
    <col min="5650" max="5650" width="12.7109375" style="12" customWidth="1"/>
    <col min="5651" max="5894" width="11.42578125" style="12"/>
    <col min="5895" max="5895" width="20.7109375" style="12" customWidth="1"/>
    <col min="5896" max="5902" width="7.7109375" style="12" customWidth="1"/>
    <col min="5903" max="5903" width="11" style="12" customWidth="1"/>
    <col min="5904" max="5904" width="13.28515625" style="12" customWidth="1"/>
    <col min="5905" max="5905" width="12.140625" style="12" customWidth="1"/>
    <col min="5906" max="5906" width="12.7109375" style="12" customWidth="1"/>
    <col min="5907" max="6150" width="11.42578125" style="12"/>
    <col min="6151" max="6151" width="20.7109375" style="12" customWidth="1"/>
    <col min="6152" max="6158" width="7.7109375" style="12" customWidth="1"/>
    <col min="6159" max="6159" width="11" style="12" customWidth="1"/>
    <col min="6160" max="6160" width="13.28515625" style="12" customWidth="1"/>
    <col min="6161" max="6161" width="12.140625" style="12" customWidth="1"/>
    <col min="6162" max="6162" width="12.7109375" style="12" customWidth="1"/>
    <col min="6163" max="6406" width="11.42578125" style="12"/>
    <col min="6407" max="6407" width="20.7109375" style="12" customWidth="1"/>
    <col min="6408" max="6414" width="7.7109375" style="12" customWidth="1"/>
    <col min="6415" max="6415" width="11" style="12" customWidth="1"/>
    <col min="6416" max="6416" width="13.28515625" style="12" customWidth="1"/>
    <col min="6417" max="6417" width="12.140625" style="12" customWidth="1"/>
    <col min="6418" max="6418" width="12.7109375" style="12" customWidth="1"/>
    <col min="6419" max="6662" width="11.42578125" style="12"/>
    <col min="6663" max="6663" width="20.7109375" style="12" customWidth="1"/>
    <col min="6664" max="6670" width="7.7109375" style="12" customWidth="1"/>
    <col min="6671" max="6671" width="11" style="12" customWidth="1"/>
    <col min="6672" max="6672" width="13.28515625" style="12" customWidth="1"/>
    <col min="6673" max="6673" width="12.140625" style="12" customWidth="1"/>
    <col min="6674" max="6674" width="12.7109375" style="12" customWidth="1"/>
    <col min="6675" max="6918" width="11.42578125" style="12"/>
    <col min="6919" max="6919" width="20.7109375" style="12" customWidth="1"/>
    <col min="6920" max="6926" width="7.7109375" style="12" customWidth="1"/>
    <col min="6927" max="6927" width="11" style="12" customWidth="1"/>
    <col min="6928" max="6928" width="13.28515625" style="12" customWidth="1"/>
    <col min="6929" max="6929" width="12.140625" style="12" customWidth="1"/>
    <col min="6930" max="6930" width="12.7109375" style="12" customWidth="1"/>
    <col min="6931" max="7174" width="11.42578125" style="12"/>
    <col min="7175" max="7175" width="20.7109375" style="12" customWidth="1"/>
    <col min="7176" max="7182" width="7.7109375" style="12" customWidth="1"/>
    <col min="7183" max="7183" width="11" style="12" customWidth="1"/>
    <col min="7184" max="7184" width="13.28515625" style="12" customWidth="1"/>
    <col min="7185" max="7185" width="12.140625" style="12" customWidth="1"/>
    <col min="7186" max="7186" width="12.7109375" style="12" customWidth="1"/>
    <col min="7187" max="7430" width="11.42578125" style="12"/>
    <col min="7431" max="7431" width="20.7109375" style="12" customWidth="1"/>
    <col min="7432" max="7438" width="7.7109375" style="12" customWidth="1"/>
    <col min="7439" max="7439" width="11" style="12" customWidth="1"/>
    <col min="7440" max="7440" width="13.28515625" style="12" customWidth="1"/>
    <col min="7441" max="7441" width="12.140625" style="12" customWidth="1"/>
    <col min="7442" max="7442" width="12.7109375" style="12" customWidth="1"/>
    <col min="7443" max="7686" width="11.42578125" style="12"/>
    <col min="7687" max="7687" width="20.7109375" style="12" customWidth="1"/>
    <col min="7688" max="7694" width="7.7109375" style="12" customWidth="1"/>
    <col min="7695" max="7695" width="11" style="12" customWidth="1"/>
    <col min="7696" max="7696" width="13.28515625" style="12" customWidth="1"/>
    <col min="7697" max="7697" width="12.140625" style="12" customWidth="1"/>
    <col min="7698" max="7698" width="12.7109375" style="12" customWidth="1"/>
    <col min="7699" max="7942" width="11.42578125" style="12"/>
    <col min="7943" max="7943" width="20.7109375" style="12" customWidth="1"/>
    <col min="7944" max="7950" width="7.7109375" style="12" customWidth="1"/>
    <col min="7951" max="7951" width="11" style="12" customWidth="1"/>
    <col min="7952" max="7952" width="13.28515625" style="12" customWidth="1"/>
    <col min="7953" max="7953" width="12.140625" style="12" customWidth="1"/>
    <col min="7954" max="7954" width="12.7109375" style="12" customWidth="1"/>
    <col min="7955" max="8198" width="11.42578125" style="12"/>
    <col min="8199" max="8199" width="20.7109375" style="12" customWidth="1"/>
    <col min="8200" max="8206" width="7.7109375" style="12" customWidth="1"/>
    <col min="8207" max="8207" width="11" style="12" customWidth="1"/>
    <col min="8208" max="8208" width="13.28515625" style="12" customWidth="1"/>
    <col min="8209" max="8209" width="12.140625" style="12" customWidth="1"/>
    <col min="8210" max="8210" width="12.7109375" style="12" customWidth="1"/>
    <col min="8211" max="8454" width="11.42578125" style="12"/>
    <col min="8455" max="8455" width="20.7109375" style="12" customWidth="1"/>
    <col min="8456" max="8462" width="7.7109375" style="12" customWidth="1"/>
    <col min="8463" max="8463" width="11" style="12" customWidth="1"/>
    <col min="8464" max="8464" width="13.28515625" style="12" customWidth="1"/>
    <col min="8465" max="8465" width="12.140625" style="12" customWidth="1"/>
    <col min="8466" max="8466" width="12.7109375" style="12" customWidth="1"/>
    <col min="8467" max="8710" width="11.42578125" style="12"/>
    <col min="8711" max="8711" width="20.7109375" style="12" customWidth="1"/>
    <col min="8712" max="8718" width="7.7109375" style="12" customWidth="1"/>
    <col min="8719" max="8719" width="11" style="12" customWidth="1"/>
    <col min="8720" max="8720" width="13.28515625" style="12" customWidth="1"/>
    <col min="8721" max="8721" width="12.140625" style="12" customWidth="1"/>
    <col min="8722" max="8722" width="12.7109375" style="12" customWidth="1"/>
    <col min="8723" max="8966" width="11.42578125" style="12"/>
    <col min="8967" max="8967" width="20.7109375" style="12" customWidth="1"/>
    <col min="8968" max="8974" width="7.7109375" style="12" customWidth="1"/>
    <col min="8975" max="8975" width="11" style="12" customWidth="1"/>
    <col min="8976" max="8976" width="13.28515625" style="12" customWidth="1"/>
    <col min="8977" max="8977" width="12.140625" style="12" customWidth="1"/>
    <col min="8978" max="8978" width="12.7109375" style="12" customWidth="1"/>
    <col min="8979" max="9222" width="11.42578125" style="12"/>
    <col min="9223" max="9223" width="20.7109375" style="12" customWidth="1"/>
    <col min="9224" max="9230" width="7.7109375" style="12" customWidth="1"/>
    <col min="9231" max="9231" width="11" style="12" customWidth="1"/>
    <col min="9232" max="9232" width="13.28515625" style="12" customWidth="1"/>
    <col min="9233" max="9233" width="12.140625" style="12" customWidth="1"/>
    <col min="9234" max="9234" width="12.7109375" style="12" customWidth="1"/>
    <col min="9235" max="9478" width="11.42578125" style="12"/>
    <col min="9479" max="9479" width="20.7109375" style="12" customWidth="1"/>
    <col min="9480" max="9486" width="7.7109375" style="12" customWidth="1"/>
    <col min="9487" max="9487" width="11" style="12" customWidth="1"/>
    <col min="9488" max="9488" width="13.28515625" style="12" customWidth="1"/>
    <col min="9489" max="9489" width="12.140625" style="12" customWidth="1"/>
    <col min="9490" max="9490" width="12.7109375" style="12" customWidth="1"/>
    <col min="9491" max="9734" width="11.42578125" style="12"/>
    <col min="9735" max="9735" width="20.7109375" style="12" customWidth="1"/>
    <col min="9736" max="9742" width="7.7109375" style="12" customWidth="1"/>
    <col min="9743" max="9743" width="11" style="12" customWidth="1"/>
    <col min="9744" max="9744" width="13.28515625" style="12" customWidth="1"/>
    <col min="9745" max="9745" width="12.140625" style="12" customWidth="1"/>
    <col min="9746" max="9746" width="12.7109375" style="12" customWidth="1"/>
    <col min="9747" max="9990" width="11.42578125" style="12"/>
    <col min="9991" max="9991" width="20.7109375" style="12" customWidth="1"/>
    <col min="9992" max="9998" width="7.7109375" style="12" customWidth="1"/>
    <col min="9999" max="9999" width="11" style="12" customWidth="1"/>
    <col min="10000" max="10000" width="13.28515625" style="12" customWidth="1"/>
    <col min="10001" max="10001" width="12.140625" style="12" customWidth="1"/>
    <col min="10002" max="10002" width="12.7109375" style="12" customWidth="1"/>
    <col min="10003" max="10246" width="11.42578125" style="12"/>
    <col min="10247" max="10247" width="20.7109375" style="12" customWidth="1"/>
    <col min="10248" max="10254" width="7.7109375" style="12" customWidth="1"/>
    <col min="10255" max="10255" width="11" style="12" customWidth="1"/>
    <col min="10256" max="10256" width="13.28515625" style="12" customWidth="1"/>
    <col min="10257" max="10257" width="12.140625" style="12" customWidth="1"/>
    <col min="10258" max="10258" width="12.7109375" style="12" customWidth="1"/>
    <col min="10259" max="10502" width="11.42578125" style="12"/>
    <col min="10503" max="10503" width="20.7109375" style="12" customWidth="1"/>
    <col min="10504" max="10510" width="7.7109375" style="12" customWidth="1"/>
    <col min="10511" max="10511" width="11" style="12" customWidth="1"/>
    <col min="10512" max="10512" width="13.28515625" style="12" customWidth="1"/>
    <col min="10513" max="10513" width="12.140625" style="12" customWidth="1"/>
    <col min="10514" max="10514" width="12.7109375" style="12" customWidth="1"/>
    <col min="10515" max="10758" width="11.42578125" style="12"/>
    <col min="10759" max="10759" width="20.7109375" style="12" customWidth="1"/>
    <col min="10760" max="10766" width="7.7109375" style="12" customWidth="1"/>
    <col min="10767" max="10767" width="11" style="12" customWidth="1"/>
    <col min="10768" max="10768" width="13.28515625" style="12" customWidth="1"/>
    <col min="10769" max="10769" width="12.140625" style="12" customWidth="1"/>
    <col min="10770" max="10770" width="12.7109375" style="12" customWidth="1"/>
    <col min="10771" max="11014" width="11.42578125" style="12"/>
    <col min="11015" max="11015" width="20.7109375" style="12" customWidth="1"/>
    <col min="11016" max="11022" width="7.7109375" style="12" customWidth="1"/>
    <col min="11023" max="11023" width="11" style="12" customWidth="1"/>
    <col min="11024" max="11024" width="13.28515625" style="12" customWidth="1"/>
    <col min="11025" max="11025" width="12.140625" style="12" customWidth="1"/>
    <col min="11026" max="11026" width="12.7109375" style="12" customWidth="1"/>
    <col min="11027" max="11270" width="11.42578125" style="12"/>
    <col min="11271" max="11271" width="20.7109375" style="12" customWidth="1"/>
    <col min="11272" max="11278" width="7.7109375" style="12" customWidth="1"/>
    <col min="11279" max="11279" width="11" style="12" customWidth="1"/>
    <col min="11280" max="11280" width="13.28515625" style="12" customWidth="1"/>
    <col min="11281" max="11281" width="12.140625" style="12" customWidth="1"/>
    <col min="11282" max="11282" width="12.7109375" style="12" customWidth="1"/>
    <col min="11283" max="11526" width="11.42578125" style="12"/>
    <col min="11527" max="11527" width="20.7109375" style="12" customWidth="1"/>
    <col min="11528" max="11534" width="7.7109375" style="12" customWidth="1"/>
    <col min="11535" max="11535" width="11" style="12" customWidth="1"/>
    <col min="11536" max="11536" width="13.28515625" style="12" customWidth="1"/>
    <col min="11537" max="11537" width="12.140625" style="12" customWidth="1"/>
    <col min="11538" max="11538" width="12.7109375" style="12" customWidth="1"/>
    <col min="11539" max="11782" width="11.42578125" style="12"/>
    <col min="11783" max="11783" width="20.7109375" style="12" customWidth="1"/>
    <col min="11784" max="11790" width="7.7109375" style="12" customWidth="1"/>
    <col min="11791" max="11791" width="11" style="12" customWidth="1"/>
    <col min="11792" max="11792" width="13.28515625" style="12" customWidth="1"/>
    <col min="11793" max="11793" width="12.140625" style="12" customWidth="1"/>
    <col min="11794" max="11794" width="12.7109375" style="12" customWidth="1"/>
    <col min="11795" max="12038" width="11.42578125" style="12"/>
    <col min="12039" max="12039" width="20.7109375" style="12" customWidth="1"/>
    <col min="12040" max="12046" width="7.7109375" style="12" customWidth="1"/>
    <col min="12047" max="12047" width="11" style="12" customWidth="1"/>
    <col min="12048" max="12048" width="13.28515625" style="12" customWidth="1"/>
    <col min="12049" max="12049" width="12.140625" style="12" customWidth="1"/>
    <col min="12050" max="12050" width="12.7109375" style="12" customWidth="1"/>
    <col min="12051" max="12294" width="11.42578125" style="12"/>
    <col min="12295" max="12295" width="20.7109375" style="12" customWidth="1"/>
    <col min="12296" max="12302" width="7.7109375" style="12" customWidth="1"/>
    <col min="12303" max="12303" width="11" style="12" customWidth="1"/>
    <col min="12304" max="12304" width="13.28515625" style="12" customWidth="1"/>
    <col min="12305" max="12305" width="12.140625" style="12" customWidth="1"/>
    <col min="12306" max="12306" width="12.7109375" style="12" customWidth="1"/>
    <col min="12307" max="12550" width="11.42578125" style="12"/>
    <col min="12551" max="12551" width="20.7109375" style="12" customWidth="1"/>
    <col min="12552" max="12558" width="7.7109375" style="12" customWidth="1"/>
    <col min="12559" max="12559" width="11" style="12" customWidth="1"/>
    <col min="12560" max="12560" width="13.28515625" style="12" customWidth="1"/>
    <col min="12561" max="12561" width="12.140625" style="12" customWidth="1"/>
    <col min="12562" max="12562" width="12.7109375" style="12" customWidth="1"/>
    <col min="12563" max="12806" width="11.42578125" style="12"/>
    <col min="12807" max="12807" width="20.7109375" style="12" customWidth="1"/>
    <col min="12808" max="12814" width="7.7109375" style="12" customWidth="1"/>
    <col min="12815" max="12815" width="11" style="12" customWidth="1"/>
    <col min="12816" max="12816" width="13.28515625" style="12" customWidth="1"/>
    <col min="12817" max="12817" width="12.140625" style="12" customWidth="1"/>
    <col min="12818" max="12818" width="12.7109375" style="12" customWidth="1"/>
    <col min="12819" max="13062" width="11.42578125" style="12"/>
    <col min="13063" max="13063" width="20.7109375" style="12" customWidth="1"/>
    <col min="13064" max="13070" width="7.7109375" style="12" customWidth="1"/>
    <col min="13071" max="13071" width="11" style="12" customWidth="1"/>
    <col min="13072" max="13072" width="13.28515625" style="12" customWidth="1"/>
    <col min="13073" max="13073" width="12.140625" style="12" customWidth="1"/>
    <col min="13074" max="13074" width="12.7109375" style="12" customWidth="1"/>
    <col min="13075" max="13318" width="11.42578125" style="12"/>
    <col min="13319" max="13319" width="20.7109375" style="12" customWidth="1"/>
    <col min="13320" max="13326" width="7.7109375" style="12" customWidth="1"/>
    <col min="13327" max="13327" width="11" style="12" customWidth="1"/>
    <col min="13328" max="13328" width="13.28515625" style="12" customWidth="1"/>
    <col min="13329" max="13329" width="12.140625" style="12" customWidth="1"/>
    <col min="13330" max="13330" width="12.7109375" style="12" customWidth="1"/>
    <col min="13331" max="13574" width="11.42578125" style="12"/>
    <col min="13575" max="13575" width="20.7109375" style="12" customWidth="1"/>
    <col min="13576" max="13582" width="7.7109375" style="12" customWidth="1"/>
    <col min="13583" max="13583" width="11" style="12" customWidth="1"/>
    <col min="13584" max="13584" width="13.28515625" style="12" customWidth="1"/>
    <col min="13585" max="13585" width="12.140625" style="12" customWidth="1"/>
    <col min="13586" max="13586" width="12.7109375" style="12" customWidth="1"/>
    <col min="13587" max="13830" width="11.42578125" style="12"/>
    <col min="13831" max="13831" width="20.7109375" style="12" customWidth="1"/>
    <col min="13832" max="13838" width="7.7109375" style="12" customWidth="1"/>
    <col min="13839" max="13839" width="11" style="12" customWidth="1"/>
    <col min="13840" max="13840" width="13.28515625" style="12" customWidth="1"/>
    <col min="13841" max="13841" width="12.140625" style="12" customWidth="1"/>
    <col min="13842" max="13842" width="12.7109375" style="12" customWidth="1"/>
    <col min="13843" max="14086" width="11.42578125" style="12"/>
    <col min="14087" max="14087" width="20.7109375" style="12" customWidth="1"/>
    <col min="14088" max="14094" width="7.7109375" style="12" customWidth="1"/>
    <col min="14095" max="14095" width="11" style="12" customWidth="1"/>
    <col min="14096" max="14096" width="13.28515625" style="12" customWidth="1"/>
    <col min="14097" max="14097" width="12.140625" style="12" customWidth="1"/>
    <col min="14098" max="14098" width="12.7109375" style="12" customWidth="1"/>
    <col min="14099" max="14342" width="11.42578125" style="12"/>
    <col min="14343" max="14343" width="20.7109375" style="12" customWidth="1"/>
    <col min="14344" max="14350" width="7.7109375" style="12" customWidth="1"/>
    <col min="14351" max="14351" width="11" style="12" customWidth="1"/>
    <col min="14352" max="14352" width="13.28515625" style="12" customWidth="1"/>
    <col min="14353" max="14353" width="12.140625" style="12" customWidth="1"/>
    <col min="14354" max="14354" width="12.7109375" style="12" customWidth="1"/>
    <col min="14355" max="14598" width="11.42578125" style="12"/>
    <col min="14599" max="14599" width="20.7109375" style="12" customWidth="1"/>
    <col min="14600" max="14606" width="7.7109375" style="12" customWidth="1"/>
    <col min="14607" max="14607" width="11" style="12" customWidth="1"/>
    <col min="14608" max="14608" width="13.28515625" style="12" customWidth="1"/>
    <col min="14609" max="14609" width="12.140625" style="12" customWidth="1"/>
    <col min="14610" max="14610" width="12.7109375" style="12" customWidth="1"/>
    <col min="14611" max="14854" width="11.42578125" style="12"/>
    <col min="14855" max="14855" width="20.7109375" style="12" customWidth="1"/>
    <col min="14856" max="14862" width="7.7109375" style="12" customWidth="1"/>
    <col min="14863" max="14863" width="11" style="12" customWidth="1"/>
    <col min="14864" max="14864" width="13.28515625" style="12" customWidth="1"/>
    <col min="14865" max="14865" width="12.140625" style="12" customWidth="1"/>
    <col min="14866" max="14866" width="12.7109375" style="12" customWidth="1"/>
    <col min="14867" max="15110" width="11.42578125" style="12"/>
    <col min="15111" max="15111" width="20.7109375" style="12" customWidth="1"/>
    <col min="15112" max="15118" width="7.7109375" style="12" customWidth="1"/>
    <col min="15119" max="15119" width="11" style="12" customWidth="1"/>
    <col min="15120" max="15120" width="13.28515625" style="12" customWidth="1"/>
    <col min="15121" max="15121" width="12.140625" style="12" customWidth="1"/>
    <col min="15122" max="15122" width="12.7109375" style="12" customWidth="1"/>
    <col min="15123" max="15366" width="11.42578125" style="12"/>
    <col min="15367" max="15367" width="20.7109375" style="12" customWidth="1"/>
    <col min="15368" max="15374" width="7.7109375" style="12" customWidth="1"/>
    <col min="15375" max="15375" width="11" style="12" customWidth="1"/>
    <col min="15376" max="15376" width="13.28515625" style="12" customWidth="1"/>
    <col min="15377" max="15377" width="12.140625" style="12" customWidth="1"/>
    <col min="15378" max="15378" width="12.7109375" style="12" customWidth="1"/>
    <col min="15379" max="15622" width="11.42578125" style="12"/>
    <col min="15623" max="15623" width="20.7109375" style="12" customWidth="1"/>
    <col min="15624" max="15630" width="7.7109375" style="12" customWidth="1"/>
    <col min="15631" max="15631" width="11" style="12" customWidth="1"/>
    <col min="15632" max="15632" width="13.28515625" style="12" customWidth="1"/>
    <col min="15633" max="15633" width="12.140625" style="12" customWidth="1"/>
    <col min="15634" max="15634" width="12.7109375" style="12" customWidth="1"/>
    <col min="15635" max="15878" width="11.42578125" style="12"/>
    <col min="15879" max="15879" width="20.7109375" style="12" customWidth="1"/>
    <col min="15880" max="15886" width="7.7109375" style="12" customWidth="1"/>
    <col min="15887" max="15887" width="11" style="12" customWidth="1"/>
    <col min="15888" max="15888" width="13.28515625" style="12" customWidth="1"/>
    <col min="15889" max="15889" width="12.140625" style="12" customWidth="1"/>
    <col min="15890" max="15890" width="12.7109375" style="12" customWidth="1"/>
    <col min="15891" max="16134" width="11.42578125" style="12"/>
    <col min="16135" max="16135" width="20.7109375" style="12" customWidth="1"/>
    <col min="16136" max="16142" width="7.7109375" style="12" customWidth="1"/>
    <col min="16143" max="16143" width="11" style="12" customWidth="1"/>
    <col min="16144" max="16144" width="13.28515625" style="12" customWidth="1"/>
    <col min="16145" max="16145" width="12.140625" style="12" customWidth="1"/>
    <col min="16146" max="16146" width="12.7109375" style="12" customWidth="1"/>
    <col min="16147" max="16384" width="11.42578125" style="12"/>
  </cols>
  <sheetData>
    <row r="1" spans="1:24" s="24" customFormat="1" ht="30" customHeight="1">
      <c r="A1" s="8"/>
    </row>
    <row r="2" spans="1:24" s="25" customFormat="1" ht="31.5">
      <c r="A2" s="10" t="s">
        <v>88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24"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24">
      <c r="A4" s="11" t="s">
        <v>55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26"/>
      <c r="S4" s="26"/>
      <c r="T4" s="26"/>
      <c r="U4" s="26"/>
      <c r="V4" s="26"/>
      <c r="W4" s="26"/>
      <c r="X4" s="26"/>
    </row>
    <row r="5" spans="1:24">
      <c r="A5" s="81" t="s">
        <v>111</v>
      </c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24" s="13" customFormat="1" ht="15.75">
      <c r="A6" s="27"/>
    </row>
    <row r="7" spans="1:24" ht="51.75">
      <c r="A7" s="22" t="s">
        <v>37</v>
      </c>
      <c r="B7" s="22" t="s">
        <v>54</v>
      </c>
      <c r="C7" s="22" t="s">
        <v>72</v>
      </c>
      <c r="D7" s="22" t="s">
        <v>73</v>
      </c>
      <c r="E7" s="25"/>
      <c r="F7" s="25"/>
      <c r="G7" s="25"/>
      <c r="O7" s="12"/>
      <c r="P7" s="55"/>
      <c r="Q7" s="56"/>
      <c r="R7" s="56"/>
      <c r="S7" s="56"/>
      <c r="T7" s="56"/>
    </row>
    <row r="8" spans="1:24">
      <c r="A8" s="14" t="s">
        <v>109</v>
      </c>
      <c r="B8" s="12">
        <v>3237</v>
      </c>
      <c r="C8" s="12">
        <v>1581</v>
      </c>
      <c r="D8" s="12">
        <v>1656</v>
      </c>
      <c r="E8" s="25"/>
      <c r="F8" s="25"/>
      <c r="G8" s="25"/>
      <c r="O8" s="12"/>
      <c r="P8" s="55"/>
      <c r="Q8" s="56"/>
      <c r="R8" s="56"/>
      <c r="S8" s="56"/>
      <c r="T8" s="56"/>
    </row>
    <row r="9" spans="1:24">
      <c r="A9" s="14">
        <v>2024</v>
      </c>
      <c r="B9" s="12">
        <v>3552</v>
      </c>
      <c r="C9" s="12">
        <v>1689</v>
      </c>
      <c r="D9" s="12">
        <v>1863</v>
      </c>
      <c r="E9" s="25"/>
      <c r="F9" s="25"/>
      <c r="G9" s="25"/>
      <c r="O9" s="12"/>
      <c r="P9" s="55"/>
      <c r="Q9" s="56"/>
      <c r="R9" s="56"/>
      <c r="S9" s="56"/>
      <c r="T9" s="56"/>
    </row>
    <row r="10" spans="1:24">
      <c r="A10" s="14">
        <v>2023</v>
      </c>
      <c r="B10" s="12">
        <v>3688</v>
      </c>
      <c r="C10" s="12">
        <v>1716</v>
      </c>
      <c r="D10" s="12">
        <v>1972</v>
      </c>
      <c r="E10" s="25"/>
      <c r="F10" s="25"/>
      <c r="G10" s="25"/>
      <c r="O10" s="12"/>
      <c r="P10" s="55"/>
      <c r="Q10" s="56"/>
      <c r="R10" s="56"/>
      <c r="S10" s="56"/>
      <c r="T10" s="56"/>
    </row>
    <row r="11" spans="1:24">
      <c r="A11" s="14">
        <v>2022</v>
      </c>
      <c r="B11" s="12">
        <v>3805</v>
      </c>
      <c r="C11" s="12">
        <v>1728</v>
      </c>
      <c r="D11" s="12">
        <v>2077</v>
      </c>
    </row>
    <row r="12" spans="1:24" ht="17.100000000000001" customHeight="1">
      <c r="A12" s="14">
        <v>2021</v>
      </c>
      <c r="B12" s="15">
        <v>3931</v>
      </c>
      <c r="C12" s="16">
        <v>1715</v>
      </c>
      <c r="D12" s="16">
        <v>2216</v>
      </c>
      <c r="E12" s="25"/>
      <c r="F12" s="25"/>
      <c r="H12" s="12"/>
      <c r="I12" s="12"/>
      <c r="O12" s="12"/>
      <c r="P12" s="12"/>
      <c r="Q12" s="12"/>
    </row>
    <row r="13" spans="1:24" ht="17.100000000000001" customHeight="1">
      <c r="A13" s="14">
        <v>2020</v>
      </c>
      <c r="B13" s="15">
        <v>3991</v>
      </c>
      <c r="C13" s="16">
        <v>1690</v>
      </c>
      <c r="D13" s="16">
        <v>2301</v>
      </c>
      <c r="E13" s="25"/>
      <c r="F13" s="25"/>
      <c r="H13" s="12"/>
      <c r="I13" s="12"/>
      <c r="O13" s="12"/>
      <c r="P13" s="12"/>
      <c r="Q13" s="12"/>
    </row>
    <row r="14" spans="1:24" ht="17.100000000000001" customHeight="1">
      <c r="A14" s="14">
        <v>2019</v>
      </c>
      <c r="B14" s="15">
        <v>4110</v>
      </c>
      <c r="C14" s="16">
        <v>1781</v>
      </c>
      <c r="D14" s="16">
        <v>2329</v>
      </c>
      <c r="E14" s="25"/>
      <c r="F14" s="25"/>
      <c r="H14" s="12"/>
      <c r="I14" s="12"/>
      <c r="O14" s="12"/>
      <c r="P14" s="12"/>
      <c r="Q14" s="12"/>
    </row>
    <row r="15" spans="1:24" ht="17.100000000000001" customHeight="1">
      <c r="A15" s="14">
        <v>2018</v>
      </c>
      <c r="B15" s="15">
        <v>4076</v>
      </c>
      <c r="C15" s="16">
        <v>1736</v>
      </c>
      <c r="D15" s="16">
        <v>2340</v>
      </c>
      <c r="E15" s="25"/>
      <c r="F15" s="57"/>
      <c r="G15" s="58"/>
      <c r="H15" s="12"/>
      <c r="I15" s="12"/>
      <c r="O15" s="12"/>
      <c r="P15" s="12"/>
      <c r="Q15" s="12"/>
    </row>
    <row r="16" spans="1:24" ht="17.100000000000001" customHeight="1">
      <c r="A16" s="14">
        <v>2017</v>
      </c>
      <c r="B16" s="15">
        <v>4067</v>
      </c>
      <c r="C16" s="16">
        <v>1626</v>
      </c>
      <c r="D16" s="16">
        <v>2441</v>
      </c>
      <c r="E16" s="25"/>
      <c r="F16" s="58"/>
      <c r="H16" s="12"/>
      <c r="I16" s="12"/>
      <c r="O16" s="12"/>
      <c r="P16" s="12"/>
      <c r="Q16" s="12"/>
    </row>
    <row r="17" spans="1:17" ht="17.100000000000001" customHeight="1">
      <c r="A17" s="14">
        <v>2016</v>
      </c>
      <c r="B17" s="15">
        <v>4271</v>
      </c>
      <c r="C17" s="16">
        <v>1574</v>
      </c>
      <c r="D17" s="16">
        <v>2697</v>
      </c>
      <c r="E17" s="25"/>
      <c r="F17" s="58"/>
      <c r="G17" s="58"/>
      <c r="H17" s="12"/>
      <c r="I17" s="12"/>
      <c r="O17" s="12"/>
      <c r="P17" s="12"/>
      <c r="Q17" s="12"/>
    </row>
    <row r="18" spans="1:17" ht="17.100000000000001" customHeight="1">
      <c r="A18" s="14">
        <v>2015</v>
      </c>
      <c r="B18" s="15">
        <v>4191</v>
      </c>
      <c r="C18" s="16">
        <v>1495</v>
      </c>
      <c r="D18" s="16">
        <v>2696</v>
      </c>
      <c r="E18" s="25"/>
      <c r="F18" s="58"/>
      <c r="H18" s="12"/>
      <c r="I18" s="12"/>
      <c r="O18" s="12"/>
      <c r="P18" s="12"/>
      <c r="Q18" s="12"/>
    </row>
    <row r="19" spans="1:17" ht="17.100000000000001" customHeight="1">
      <c r="A19" s="14">
        <v>2014</v>
      </c>
      <c r="B19" s="15">
        <v>4370</v>
      </c>
      <c r="C19" s="16">
        <v>1630</v>
      </c>
      <c r="D19" s="16">
        <v>2740</v>
      </c>
      <c r="E19" s="25"/>
      <c r="F19" s="25"/>
      <c r="G19" s="58"/>
      <c r="H19" s="12"/>
      <c r="I19" s="12"/>
      <c r="O19" s="12"/>
      <c r="P19" s="12"/>
      <c r="Q19" s="12"/>
    </row>
    <row r="20" spans="1:17" ht="17.100000000000001" customHeight="1">
      <c r="A20" s="14">
        <v>2013</v>
      </c>
      <c r="B20" s="15">
        <v>4373</v>
      </c>
      <c r="C20" s="16">
        <v>1580</v>
      </c>
      <c r="D20" s="16">
        <v>2793</v>
      </c>
      <c r="E20" s="25"/>
      <c r="F20" s="25"/>
      <c r="H20" s="12"/>
      <c r="I20" s="12"/>
      <c r="O20" s="12"/>
      <c r="P20" s="12"/>
      <c r="Q20" s="12"/>
    </row>
    <row r="21" spans="1:17" ht="17.100000000000001" customHeight="1">
      <c r="A21" s="14">
        <v>2012</v>
      </c>
      <c r="B21" s="15">
        <v>4389</v>
      </c>
      <c r="C21" s="16">
        <v>1606</v>
      </c>
      <c r="D21" s="16">
        <v>2783</v>
      </c>
      <c r="E21" s="25"/>
      <c r="F21" s="25"/>
      <c r="G21" s="25"/>
      <c r="H21" s="12"/>
      <c r="I21" s="12"/>
      <c r="O21" s="12"/>
      <c r="P21" s="12"/>
      <c r="Q21" s="12"/>
    </row>
    <row r="22" spans="1:17" ht="17.100000000000001" customHeight="1">
      <c r="A22" s="14">
        <v>2011</v>
      </c>
      <c r="B22" s="15">
        <v>4119</v>
      </c>
      <c r="C22" s="16">
        <v>1503</v>
      </c>
      <c r="D22" s="16">
        <v>2616</v>
      </c>
      <c r="E22" s="25"/>
      <c r="F22" s="25"/>
      <c r="H22" s="12"/>
      <c r="I22" s="12"/>
      <c r="O22" s="12"/>
      <c r="P22" s="12"/>
      <c r="Q22" s="12"/>
    </row>
    <row r="23" spans="1:17" ht="17.100000000000001" customHeight="1">
      <c r="A23" s="14">
        <v>2010</v>
      </c>
      <c r="B23" s="15">
        <v>4178</v>
      </c>
      <c r="C23" s="16">
        <v>1613</v>
      </c>
      <c r="D23" s="16">
        <v>2565</v>
      </c>
      <c r="E23" s="25"/>
      <c r="F23" s="25"/>
      <c r="G23" s="25"/>
      <c r="H23" s="12"/>
      <c r="I23" s="12"/>
      <c r="O23" s="12"/>
      <c r="P23" s="12"/>
      <c r="Q23" s="12"/>
    </row>
    <row r="24" spans="1:17" ht="17.100000000000001" customHeight="1">
      <c r="A24" s="14">
        <v>2009</v>
      </c>
      <c r="B24" s="15">
        <v>4103</v>
      </c>
      <c r="C24" s="16">
        <v>1575</v>
      </c>
      <c r="D24" s="16">
        <v>2528</v>
      </c>
      <c r="E24" s="25"/>
      <c r="F24" s="25"/>
      <c r="H24" s="12"/>
      <c r="I24" s="12"/>
      <c r="O24" s="12"/>
      <c r="P24" s="12"/>
      <c r="Q24" s="12"/>
    </row>
    <row r="25" spans="1:17" ht="17.100000000000001" customHeight="1">
      <c r="A25" s="14">
        <v>2008</v>
      </c>
      <c r="B25" s="15">
        <v>4015</v>
      </c>
      <c r="C25" s="16">
        <v>1545</v>
      </c>
      <c r="D25" s="16">
        <v>2470</v>
      </c>
      <c r="E25" s="25"/>
      <c r="F25" s="25"/>
      <c r="G25" s="25"/>
      <c r="H25" s="12"/>
      <c r="I25" s="12"/>
      <c r="O25" s="12"/>
      <c r="P25" s="12"/>
      <c r="Q25" s="12"/>
    </row>
    <row r="26" spans="1:17" ht="17.100000000000001" customHeight="1">
      <c r="A26" s="14">
        <v>2007</v>
      </c>
      <c r="B26" s="15">
        <v>4093</v>
      </c>
      <c r="C26" s="16">
        <v>1591</v>
      </c>
      <c r="D26" s="16">
        <v>2502</v>
      </c>
      <c r="E26" s="25"/>
      <c r="F26" s="25"/>
      <c r="H26" s="12"/>
      <c r="I26" s="12"/>
      <c r="O26" s="12"/>
      <c r="P26" s="12"/>
      <c r="Q26" s="12"/>
    </row>
    <row r="27" spans="1:17" ht="17.100000000000001" customHeight="1">
      <c r="A27" s="14">
        <v>2006</v>
      </c>
      <c r="B27" s="15">
        <v>4224</v>
      </c>
      <c r="C27" s="16">
        <v>1683</v>
      </c>
      <c r="D27" s="16">
        <v>2541</v>
      </c>
      <c r="E27" s="25"/>
      <c r="F27" s="25"/>
      <c r="G27" s="25"/>
      <c r="H27" s="12"/>
      <c r="I27" s="12"/>
      <c r="O27" s="12"/>
      <c r="P27" s="12"/>
      <c r="Q27" s="12"/>
    </row>
    <row r="28" spans="1:17" ht="17.100000000000001" customHeight="1">
      <c r="A28" s="18">
        <v>2005</v>
      </c>
      <c r="B28" s="19">
        <v>4051</v>
      </c>
      <c r="C28" s="20">
        <v>1634</v>
      </c>
      <c r="D28" s="20">
        <v>2417</v>
      </c>
      <c r="E28" s="25"/>
      <c r="F28" s="25"/>
      <c r="H28" s="12"/>
      <c r="I28" s="12"/>
      <c r="O28" s="12"/>
      <c r="P28" s="12"/>
      <c r="Q28" s="12"/>
    </row>
    <row r="29" spans="1:17" ht="17.100000000000001" customHeight="1">
      <c r="J29" s="12"/>
      <c r="K29" s="12"/>
    </row>
    <row r="30" spans="1:17" ht="17.100000000000001" customHeight="1">
      <c r="A30" s="11" t="s">
        <v>56</v>
      </c>
      <c r="J30" s="12"/>
      <c r="K30" s="12"/>
    </row>
    <row r="31" spans="1:17" ht="17.100000000000001" customHeight="1">
      <c r="A31" s="1" t="s">
        <v>100</v>
      </c>
    </row>
    <row r="32" spans="1:17" ht="17.100000000000001" customHeight="1"/>
    <row r="33" ht="17.100000000000001" customHeight="1"/>
    <row r="34" ht="17.100000000000001" customHeight="1"/>
    <row r="35" ht="17.100000000000001" customHeight="1"/>
    <row r="36" ht="17.100000000000001" customHeight="1"/>
    <row r="37" ht="17.100000000000001" customHeight="1"/>
    <row r="38" ht="17.100000000000001" customHeight="1"/>
    <row r="39" ht="17.100000000000001" customHeight="1"/>
    <row r="40" ht="17.100000000000001" customHeight="1"/>
    <row r="41" ht="17.100000000000001" customHeight="1"/>
    <row r="42" ht="17.100000000000001" customHeight="1"/>
    <row r="43" ht="17.100000000000001" customHeight="1"/>
    <row r="44" ht="17.100000000000001" customHeight="1"/>
    <row r="45" ht="17.100000000000001" customHeight="1"/>
    <row r="46" ht="17.100000000000001" customHeight="1"/>
    <row r="47" ht="17.100000000000001" customHeight="1"/>
    <row r="48" ht="17.100000000000001" customHeight="1"/>
    <row r="49" ht="17.100000000000001" customHeight="1"/>
    <row r="50" ht="17.100000000000001" customHeight="1"/>
    <row r="51" ht="17.100000000000001" customHeight="1"/>
    <row r="52" ht="17.100000000000001" customHeight="1"/>
    <row r="53" ht="17.100000000000001" customHeight="1"/>
    <row r="54" ht="17.100000000000001" customHeight="1"/>
    <row r="55" ht="17.100000000000001" customHeight="1"/>
    <row r="56" ht="17.100000000000001" customHeight="1"/>
    <row r="57" ht="17.100000000000001" customHeight="1"/>
    <row r="58" ht="17.100000000000001" customHeight="1"/>
    <row r="59" ht="17.100000000000001" customHeight="1"/>
    <row r="60" ht="17.100000000000001" customHeight="1"/>
    <row r="61" ht="17.100000000000001" customHeight="1"/>
    <row r="62" ht="17.100000000000001" customHeight="1"/>
    <row r="63" ht="17.100000000000001" customHeight="1"/>
    <row r="64" ht="17.100000000000001" customHeight="1"/>
    <row r="65" ht="17.100000000000001" customHeight="1"/>
    <row r="66" ht="17.100000000000001" customHeight="1"/>
    <row r="67" ht="17.100000000000001" customHeight="1"/>
    <row r="68" ht="17.100000000000001" customHeight="1"/>
    <row r="69" ht="17.100000000000001" customHeight="1"/>
    <row r="70" ht="17.100000000000001" customHeight="1"/>
    <row r="71" ht="17.100000000000001" customHeight="1"/>
  </sheetData>
  <pageMargins left="0.70866141732283472" right="0.70866141732283472" top="0.74803149606299213" bottom="0.74803149606299213" header="0.31496062992125984" footer="0.31496062992125984"/>
  <pageSetup paperSize="9" scale="7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euil4">
    <pageSetUpPr fitToPage="1"/>
  </sheetPr>
  <dimension ref="A1:Y54"/>
  <sheetViews>
    <sheetView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baseColWidth="10" defaultRowHeight="17.100000000000001" customHeight="1"/>
  <cols>
    <col min="1" max="1" width="23.85546875" style="1" customWidth="1"/>
    <col min="2" max="22" width="10.7109375" style="1" customWidth="1"/>
    <col min="23" max="251" width="11.42578125" style="1"/>
    <col min="252" max="252" width="12.5703125" style="1" customWidth="1"/>
    <col min="253" max="253" width="13.85546875" style="1" customWidth="1"/>
    <col min="254" max="273" width="7.7109375" style="1" customWidth="1"/>
    <col min="274" max="507" width="11.42578125" style="1"/>
    <col min="508" max="508" width="12.5703125" style="1" customWidth="1"/>
    <col min="509" max="509" width="13.85546875" style="1" customWidth="1"/>
    <col min="510" max="529" width="7.7109375" style="1" customWidth="1"/>
    <col min="530" max="763" width="11.42578125" style="1"/>
    <col min="764" max="764" width="12.5703125" style="1" customWidth="1"/>
    <col min="765" max="765" width="13.85546875" style="1" customWidth="1"/>
    <col min="766" max="785" width="7.7109375" style="1" customWidth="1"/>
    <col min="786" max="1019" width="11.42578125" style="1"/>
    <col min="1020" max="1020" width="12.5703125" style="1" customWidth="1"/>
    <col min="1021" max="1021" width="13.85546875" style="1" customWidth="1"/>
    <col min="1022" max="1041" width="7.7109375" style="1" customWidth="1"/>
    <col min="1042" max="1275" width="11.42578125" style="1"/>
    <col min="1276" max="1276" width="12.5703125" style="1" customWidth="1"/>
    <col min="1277" max="1277" width="13.85546875" style="1" customWidth="1"/>
    <col min="1278" max="1297" width="7.7109375" style="1" customWidth="1"/>
    <col min="1298" max="1531" width="11.42578125" style="1"/>
    <col min="1532" max="1532" width="12.5703125" style="1" customWidth="1"/>
    <col min="1533" max="1533" width="13.85546875" style="1" customWidth="1"/>
    <col min="1534" max="1553" width="7.7109375" style="1" customWidth="1"/>
    <col min="1554" max="1787" width="11.42578125" style="1"/>
    <col min="1788" max="1788" width="12.5703125" style="1" customWidth="1"/>
    <col min="1789" max="1789" width="13.85546875" style="1" customWidth="1"/>
    <col min="1790" max="1809" width="7.7109375" style="1" customWidth="1"/>
    <col min="1810" max="2043" width="11.42578125" style="1"/>
    <col min="2044" max="2044" width="12.5703125" style="1" customWidth="1"/>
    <col min="2045" max="2045" width="13.85546875" style="1" customWidth="1"/>
    <col min="2046" max="2065" width="7.7109375" style="1" customWidth="1"/>
    <col min="2066" max="2299" width="11.42578125" style="1"/>
    <col min="2300" max="2300" width="12.5703125" style="1" customWidth="1"/>
    <col min="2301" max="2301" width="13.85546875" style="1" customWidth="1"/>
    <col min="2302" max="2321" width="7.7109375" style="1" customWidth="1"/>
    <col min="2322" max="2555" width="11.42578125" style="1"/>
    <col min="2556" max="2556" width="12.5703125" style="1" customWidth="1"/>
    <col min="2557" max="2557" width="13.85546875" style="1" customWidth="1"/>
    <col min="2558" max="2577" width="7.7109375" style="1" customWidth="1"/>
    <col min="2578" max="2811" width="11.42578125" style="1"/>
    <col min="2812" max="2812" width="12.5703125" style="1" customWidth="1"/>
    <col min="2813" max="2813" width="13.85546875" style="1" customWidth="1"/>
    <col min="2814" max="2833" width="7.7109375" style="1" customWidth="1"/>
    <col min="2834" max="3067" width="11.42578125" style="1"/>
    <col min="3068" max="3068" width="12.5703125" style="1" customWidth="1"/>
    <col min="3069" max="3069" width="13.85546875" style="1" customWidth="1"/>
    <col min="3070" max="3089" width="7.7109375" style="1" customWidth="1"/>
    <col min="3090" max="3323" width="11.42578125" style="1"/>
    <col min="3324" max="3324" width="12.5703125" style="1" customWidth="1"/>
    <col min="3325" max="3325" width="13.85546875" style="1" customWidth="1"/>
    <col min="3326" max="3345" width="7.7109375" style="1" customWidth="1"/>
    <col min="3346" max="3579" width="11.42578125" style="1"/>
    <col min="3580" max="3580" width="12.5703125" style="1" customWidth="1"/>
    <col min="3581" max="3581" width="13.85546875" style="1" customWidth="1"/>
    <col min="3582" max="3601" width="7.7109375" style="1" customWidth="1"/>
    <col min="3602" max="3835" width="11.42578125" style="1"/>
    <col min="3836" max="3836" width="12.5703125" style="1" customWidth="1"/>
    <col min="3837" max="3837" width="13.85546875" style="1" customWidth="1"/>
    <col min="3838" max="3857" width="7.7109375" style="1" customWidth="1"/>
    <col min="3858" max="4091" width="11.42578125" style="1"/>
    <col min="4092" max="4092" width="12.5703125" style="1" customWidth="1"/>
    <col min="4093" max="4093" width="13.85546875" style="1" customWidth="1"/>
    <col min="4094" max="4113" width="7.7109375" style="1" customWidth="1"/>
    <col min="4114" max="4347" width="11.42578125" style="1"/>
    <col min="4348" max="4348" width="12.5703125" style="1" customWidth="1"/>
    <col min="4349" max="4349" width="13.85546875" style="1" customWidth="1"/>
    <col min="4350" max="4369" width="7.7109375" style="1" customWidth="1"/>
    <col min="4370" max="4603" width="11.42578125" style="1"/>
    <col min="4604" max="4604" width="12.5703125" style="1" customWidth="1"/>
    <col min="4605" max="4605" width="13.85546875" style="1" customWidth="1"/>
    <col min="4606" max="4625" width="7.7109375" style="1" customWidth="1"/>
    <col min="4626" max="4859" width="11.42578125" style="1"/>
    <col min="4860" max="4860" width="12.5703125" style="1" customWidth="1"/>
    <col min="4861" max="4861" width="13.85546875" style="1" customWidth="1"/>
    <col min="4862" max="4881" width="7.7109375" style="1" customWidth="1"/>
    <col min="4882" max="5115" width="11.42578125" style="1"/>
    <col min="5116" max="5116" width="12.5703125" style="1" customWidth="1"/>
    <col min="5117" max="5117" width="13.85546875" style="1" customWidth="1"/>
    <col min="5118" max="5137" width="7.7109375" style="1" customWidth="1"/>
    <col min="5138" max="5371" width="11.42578125" style="1"/>
    <col min="5372" max="5372" width="12.5703125" style="1" customWidth="1"/>
    <col min="5373" max="5373" width="13.85546875" style="1" customWidth="1"/>
    <col min="5374" max="5393" width="7.7109375" style="1" customWidth="1"/>
    <col min="5394" max="5627" width="11.42578125" style="1"/>
    <col min="5628" max="5628" width="12.5703125" style="1" customWidth="1"/>
    <col min="5629" max="5629" width="13.85546875" style="1" customWidth="1"/>
    <col min="5630" max="5649" width="7.7109375" style="1" customWidth="1"/>
    <col min="5650" max="5883" width="11.42578125" style="1"/>
    <col min="5884" max="5884" width="12.5703125" style="1" customWidth="1"/>
    <col min="5885" max="5885" width="13.85546875" style="1" customWidth="1"/>
    <col min="5886" max="5905" width="7.7109375" style="1" customWidth="1"/>
    <col min="5906" max="6139" width="11.42578125" style="1"/>
    <col min="6140" max="6140" width="12.5703125" style="1" customWidth="1"/>
    <col min="6141" max="6141" width="13.85546875" style="1" customWidth="1"/>
    <col min="6142" max="6161" width="7.7109375" style="1" customWidth="1"/>
    <col min="6162" max="6395" width="11.42578125" style="1"/>
    <col min="6396" max="6396" width="12.5703125" style="1" customWidth="1"/>
    <col min="6397" max="6397" width="13.85546875" style="1" customWidth="1"/>
    <col min="6398" max="6417" width="7.7109375" style="1" customWidth="1"/>
    <col min="6418" max="6651" width="11.42578125" style="1"/>
    <col min="6652" max="6652" width="12.5703125" style="1" customWidth="1"/>
    <col min="6653" max="6653" width="13.85546875" style="1" customWidth="1"/>
    <col min="6654" max="6673" width="7.7109375" style="1" customWidth="1"/>
    <col min="6674" max="6907" width="11.42578125" style="1"/>
    <col min="6908" max="6908" width="12.5703125" style="1" customWidth="1"/>
    <col min="6909" max="6909" width="13.85546875" style="1" customWidth="1"/>
    <col min="6910" max="6929" width="7.7109375" style="1" customWidth="1"/>
    <col min="6930" max="7163" width="11.42578125" style="1"/>
    <col min="7164" max="7164" width="12.5703125" style="1" customWidth="1"/>
    <col min="7165" max="7165" width="13.85546875" style="1" customWidth="1"/>
    <col min="7166" max="7185" width="7.7109375" style="1" customWidth="1"/>
    <col min="7186" max="7419" width="11.42578125" style="1"/>
    <col min="7420" max="7420" width="12.5703125" style="1" customWidth="1"/>
    <col min="7421" max="7421" width="13.85546875" style="1" customWidth="1"/>
    <col min="7422" max="7441" width="7.7109375" style="1" customWidth="1"/>
    <col min="7442" max="7675" width="11.42578125" style="1"/>
    <col min="7676" max="7676" width="12.5703125" style="1" customWidth="1"/>
    <col min="7677" max="7677" width="13.85546875" style="1" customWidth="1"/>
    <col min="7678" max="7697" width="7.7109375" style="1" customWidth="1"/>
    <col min="7698" max="7931" width="11.42578125" style="1"/>
    <col min="7932" max="7932" width="12.5703125" style="1" customWidth="1"/>
    <col min="7933" max="7933" width="13.85546875" style="1" customWidth="1"/>
    <col min="7934" max="7953" width="7.7109375" style="1" customWidth="1"/>
    <col min="7954" max="8187" width="11.42578125" style="1"/>
    <col min="8188" max="8188" width="12.5703125" style="1" customWidth="1"/>
    <col min="8189" max="8189" width="13.85546875" style="1" customWidth="1"/>
    <col min="8190" max="8209" width="7.7109375" style="1" customWidth="1"/>
    <col min="8210" max="8443" width="11.42578125" style="1"/>
    <col min="8444" max="8444" width="12.5703125" style="1" customWidth="1"/>
    <col min="8445" max="8445" width="13.85546875" style="1" customWidth="1"/>
    <col min="8446" max="8465" width="7.7109375" style="1" customWidth="1"/>
    <col min="8466" max="8699" width="11.42578125" style="1"/>
    <col min="8700" max="8700" width="12.5703125" style="1" customWidth="1"/>
    <col min="8701" max="8701" width="13.85546875" style="1" customWidth="1"/>
    <col min="8702" max="8721" width="7.7109375" style="1" customWidth="1"/>
    <col min="8722" max="8955" width="11.42578125" style="1"/>
    <col min="8956" max="8956" width="12.5703125" style="1" customWidth="1"/>
    <col min="8957" max="8957" width="13.85546875" style="1" customWidth="1"/>
    <col min="8958" max="8977" width="7.7109375" style="1" customWidth="1"/>
    <col min="8978" max="9211" width="11.42578125" style="1"/>
    <col min="9212" max="9212" width="12.5703125" style="1" customWidth="1"/>
    <col min="9213" max="9213" width="13.85546875" style="1" customWidth="1"/>
    <col min="9214" max="9233" width="7.7109375" style="1" customWidth="1"/>
    <col min="9234" max="9467" width="11.42578125" style="1"/>
    <col min="9468" max="9468" width="12.5703125" style="1" customWidth="1"/>
    <col min="9469" max="9469" width="13.85546875" style="1" customWidth="1"/>
    <col min="9470" max="9489" width="7.7109375" style="1" customWidth="1"/>
    <col min="9490" max="9723" width="11.42578125" style="1"/>
    <col min="9724" max="9724" width="12.5703125" style="1" customWidth="1"/>
    <col min="9725" max="9725" width="13.85546875" style="1" customWidth="1"/>
    <col min="9726" max="9745" width="7.7109375" style="1" customWidth="1"/>
    <col min="9746" max="9979" width="11.42578125" style="1"/>
    <col min="9980" max="9980" width="12.5703125" style="1" customWidth="1"/>
    <col min="9981" max="9981" width="13.85546875" style="1" customWidth="1"/>
    <col min="9982" max="10001" width="7.7109375" style="1" customWidth="1"/>
    <col min="10002" max="10235" width="11.42578125" style="1"/>
    <col min="10236" max="10236" width="12.5703125" style="1" customWidth="1"/>
    <col min="10237" max="10237" width="13.85546875" style="1" customWidth="1"/>
    <col min="10238" max="10257" width="7.7109375" style="1" customWidth="1"/>
    <col min="10258" max="10491" width="11.42578125" style="1"/>
    <col min="10492" max="10492" width="12.5703125" style="1" customWidth="1"/>
    <col min="10493" max="10493" width="13.85546875" style="1" customWidth="1"/>
    <col min="10494" max="10513" width="7.7109375" style="1" customWidth="1"/>
    <col min="10514" max="10747" width="11.42578125" style="1"/>
    <col min="10748" max="10748" width="12.5703125" style="1" customWidth="1"/>
    <col min="10749" max="10749" width="13.85546875" style="1" customWidth="1"/>
    <col min="10750" max="10769" width="7.7109375" style="1" customWidth="1"/>
    <col min="10770" max="11003" width="11.42578125" style="1"/>
    <col min="11004" max="11004" width="12.5703125" style="1" customWidth="1"/>
    <col min="11005" max="11005" width="13.85546875" style="1" customWidth="1"/>
    <col min="11006" max="11025" width="7.7109375" style="1" customWidth="1"/>
    <col min="11026" max="11259" width="11.42578125" style="1"/>
    <col min="11260" max="11260" width="12.5703125" style="1" customWidth="1"/>
    <col min="11261" max="11261" width="13.85546875" style="1" customWidth="1"/>
    <col min="11262" max="11281" width="7.7109375" style="1" customWidth="1"/>
    <col min="11282" max="11515" width="11.42578125" style="1"/>
    <col min="11516" max="11516" width="12.5703125" style="1" customWidth="1"/>
    <col min="11517" max="11517" width="13.85546875" style="1" customWidth="1"/>
    <col min="11518" max="11537" width="7.7109375" style="1" customWidth="1"/>
    <col min="11538" max="11771" width="11.42578125" style="1"/>
    <col min="11772" max="11772" width="12.5703125" style="1" customWidth="1"/>
    <col min="11773" max="11773" width="13.85546875" style="1" customWidth="1"/>
    <col min="11774" max="11793" width="7.7109375" style="1" customWidth="1"/>
    <col min="11794" max="12027" width="11.42578125" style="1"/>
    <col min="12028" max="12028" width="12.5703125" style="1" customWidth="1"/>
    <col min="12029" max="12029" width="13.85546875" style="1" customWidth="1"/>
    <col min="12030" max="12049" width="7.7109375" style="1" customWidth="1"/>
    <col min="12050" max="12283" width="11.42578125" style="1"/>
    <col min="12284" max="12284" width="12.5703125" style="1" customWidth="1"/>
    <col min="12285" max="12285" width="13.85546875" style="1" customWidth="1"/>
    <col min="12286" max="12305" width="7.7109375" style="1" customWidth="1"/>
    <col min="12306" max="12539" width="11.42578125" style="1"/>
    <col min="12540" max="12540" width="12.5703125" style="1" customWidth="1"/>
    <col min="12541" max="12541" width="13.85546875" style="1" customWidth="1"/>
    <col min="12542" max="12561" width="7.7109375" style="1" customWidth="1"/>
    <col min="12562" max="12795" width="11.42578125" style="1"/>
    <col min="12796" max="12796" width="12.5703125" style="1" customWidth="1"/>
    <col min="12797" max="12797" width="13.85546875" style="1" customWidth="1"/>
    <col min="12798" max="12817" width="7.7109375" style="1" customWidth="1"/>
    <col min="12818" max="13051" width="11.42578125" style="1"/>
    <col min="13052" max="13052" width="12.5703125" style="1" customWidth="1"/>
    <col min="13053" max="13053" width="13.85546875" style="1" customWidth="1"/>
    <col min="13054" max="13073" width="7.7109375" style="1" customWidth="1"/>
    <col min="13074" max="13307" width="11.42578125" style="1"/>
    <col min="13308" max="13308" width="12.5703125" style="1" customWidth="1"/>
    <col min="13309" max="13309" width="13.85546875" style="1" customWidth="1"/>
    <col min="13310" max="13329" width="7.7109375" style="1" customWidth="1"/>
    <col min="13330" max="13563" width="11.42578125" style="1"/>
    <col min="13564" max="13564" width="12.5703125" style="1" customWidth="1"/>
    <col min="13565" max="13565" width="13.85546875" style="1" customWidth="1"/>
    <col min="13566" max="13585" width="7.7109375" style="1" customWidth="1"/>
    <col min="13586" max="13819" width="11.42578125" style="1"/>
    <col min="13820" max="13820" width="12.5703125" style="1" customWidth="1"/>
    <col min="13821" max="13821" width="13.85546875" style="1" customWidth="1"/>
    <col min="13822" max="13841" width="7.7109375" style="1" customWidth="1"/>
    <col min="13842" max="14075" width="11.42578125" style="1"/>
    <col min="14076" max="14076" width="12.5703125" style="1" customWidth="1"/>
    <col min="14077" max="14077" width="13.85546875" style="1" customWidth="1"/>
    <col min="14078" max="14097" width="7.7109375" style="1" customWidth="1"/>
    <col min="14098" max="14331" width="11.42578125" style="1"/>
    <col min="14332" max="14332" width="12.5703125" style="1" customWidth="1"/>
    <col min="14333" max="14333" width="13.85546875" style="1" customWidth="1"/>
    <col min="14334" max="14353" width="7.7109375" style="1" customWidth="1"/>
    <col min="14354" max="14587" width="11.42578125" style="1"/>
    <col min="14588" max="14588" width="12.5703125" style="1" customWidth="1"/>
    <col min="14589" max="14589" width="13.85546875" style="1" customWidth="1"/>
    <col min="14590" max="14609" width="7.7109375" style="1" customWidth="1"/>
    <col min="14610" max="14843" width="11.42578125" style="1"/>
    <col min="14844" max="14844" width="12.5703125" style="1" customWidth="1"/>
    <col min="14845" max="14845" width="13.85546875" style="1" customWidth="1"/>
    <col min="14846" max="14865" width="7.7109375" style="1" customWidth="1"/>
    <col min="14866" max="15099" width="11.42578125" style="1"/>
    <col min="15100" max="15100" width="12.5703125" style="1" customWidth="1"/>
    <col min="15101" max="15101" width="13.85546875" style="1" customWidth="1"/>
    <col min="15102" max="15121" width="7.7109375" style="1" customWidth="1"/>
    <col min="15122" max="15355" width="11.42578125" style="1"/>
    <col min="15356" max="15356" width="12.5703125" style="1" customWidth="1"/>
    <col min="15357" max="15357" width="13.85546875" style="1" customWidth="1"/>
    <col min="15358" max="15377" width="7.7109375" style="1" customWidth="1"/>
    <col min="15378" max="15611" width="11.42578125" style="1"/>
    <col min="15612" max="15612" width="12.5703125" style="1" customWidth="1"/>
    <col min="15613" max="15613" width="13.85546875" style="1" customWidth="1"/>
    <col min="15614" max="15633" width="7.7109375" style="1" customWidth="1"/>
    <col min="15634" max="15867" width="11.42578125" style="1"/>
    <col min="15868" max="15868" width="12.5703125" style="1" customWidth="1"/>
    <col min="15869" max="15869" width="13.85546875" style="1" customWidth="1"/>
    <col min="15870" max="15889" width="7.7109375" style="1" customWidth="1"/>
    <col min="15890" max="16123" width="11.42578125" style="1"/>
    <col min="16124" max="16124" width="12.5703125" style="1" customWidth="1"/>
    <col min="16125" max="16125" width="13.85546875" style="1" customWidth="1"/>
    <col min="16126" max="16145" width="7.7109375" style="1" customWidth="1"/>
    <col min="16146" max="16384" width="11.42578125" style="1"/>
  </cols>
  <sheetData>
    <row r="1" spans="1:25" s="24" customFormat="1" ht="30" customHeight="1">
      <c r="A1" s="8"/>
    </row>
    <row r="2" spans="1:25" s="25" customFormat="1" ht="31.5">
      <c r="A2" s="10" t="s">
        <v>45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25" s="12" customFormat="1" ht="15"/>
    <row r="4" spans="1:25" s="12" customFormat="1" ht="15">
      <c r="A4" s="11" t="s">
        <v>55</v>
      </c>
      <c r="R4" s="26"/>
      <c r="S4" s="26"/>
      <c r="T4" s="26"/>
      <c r="U4" s="26"/>
      <c r="V4" s="26"/>
      <c r="W4" s="26"/>
      <c r="X4" s="26"/>
      <c r="Y4" s="26"/>
    </row>
    <row r="5" spans="1:25" s="12" customFormat="1" ht="15">
      <c r="A5" s="81" t="s">
        <v>111</v>
      </c>
    </row>
    <row r="6" spans="1:25" s="13" customFormat="1" ht="15.75">
      <c r="A6" s="27"/>
    </row>
    <row r="7" spans="1:25" s="3" customFormat="1" ht="17.25">
      <c r="A7" s="43" t="s">
        <v>51</v>
      </c>
      <c r="B7" s="44">
        <v>2005</v>
      </c>
      <c r="C7" s="43">
        <v>2006</v>
      </c>
      <c r="D7" s="43">
        <v>2007</v>
      </c>
      <c r="E7" s="43">
        <v>2008</v>
      </c>
      <c r="F7" s="43">
        <v>2009</v>
      </c>
      <c r="G7" s="43">
        <v>2010</v>
      </c>
      <c r="H7" s="43">
        <v>2011</v>
      </c>
      <c r="I7" s="43">
        <v>2012</v>
      </c>
      <c r="J7" s="43">
        <v>2013</v>
      </c>
      <c r="K7" s="43">
        <v>2014</v>
      </c>
      <c r="L7" s="43">
        <v>2015</v>
      </c>
      <c r="M7" s="43">
        <v>2016</v>
      </c>
      <c r="N7" s="43">
        <v>2017</v>
      </c>
      <c r="O7" s="43">
        <v>2018</v>
      </c>
      <c r="P7" s="43">
        <v>2019</v>
      </c>
      <c r="Q7" s="43">
        <v>2020</v>
      </c>
      <c r="R7" s="43">
        <v>2021</v>
      </c>
      <c r="S7" s="43">
        <v>2022</v>
      </c>
      <c r="T7" s="43">
        <v>2023</v>
      </c>
      <c r="U7" s="43">
        <v>2024</v>
      </c>
      <c r="V7" s="43" t="s">
        <v>109</v>
      </c>
    </row>
    <row r="8" spans="1:25" ht="17.100000000000001" customHeight="1">
      <c r="A8" s="45" t="s">
        <v>5</v>
      </c>
      <c r="B8" s="46">
        <v>21</v>
      </c>
      <c r="C8" s="15">
        <v>21</v>
      </c>
      <c r="D8" s="15">
        <v>13</v>
      </c>
      <c r="E8" s="15">
        <v>13</v>
      </c>
      <c r="F8" s="15">
        <v>6</v>
      </c>
      <c r="G8" s="15">
        <v>12</v>
      </c>
      <c r="H8" s="15">
        <v>15</v>
      </c>
      <c r="I8" s="15">
        <v>21</v>
      </c>
      <c r="J8" s="15">
        <v>11</v>
      </c>
      <c r="K8" s="15">
        <v>12</v>
      </c>
      <c r="L8" s="12">
        <v>6</v>
      </c>
      <c r="M8" s="12">
        <v>14</v>
      </c>
      <c r="N8" s="12">
        <v>16</v>
      </c>
      <c r="O8" s="12">
        <v>16</v>
      </c>
      <c r="P8" s="12">
        <v>13</v>
      </c>
      <c r="Q8" s="12">
        <v>13</v>
      </c>
      <c r="R8" s="12">
        <v>9</v>
      </c>
      <c r="S8" s="12">
        <v>5</v>
      </c>
      <c r="T8" s="12">
        <v>7</v>
      </c>
      <c r="U8" s="12">
        <v>12</v>
      </c>
      <c r="V8" s="12">
        <v>7</v>
      </c>
      <c r="W8" s="4"/>
    </row>
    <row r="9" spans="1:25" ht="17.100000000000001" customHeight="1">
      <c r="A9" s="45" t="s">
        <v>22</v>
      </c>
      <c r="B9" s="46">
        <v>32</v>
      </c>
      <c r="C9" s="15">
        <v>37</v>
      </c>
      <c r="D9" s="15">
        <v>46</v>
      </c>
      <c r="E9" s="15">
        <v>48</v>
      </c>
      <c r="F9" s="15">
        <v>36</v>
      </c>
      <c r="G9" s="15">
        <v>45</v>
      </c>
      <c r="H9" s="15">
        <v>46</v>
      </c>
      <c r="I9" s="15">
        <v>46</v>
      </c>
      <c r="J9" s="15">
        <v>45</v>
      </c>
      <c r="K9" s="15">
        <v>49</v>
      </c>
      <c r="L9" s="12">
        <v>47</v>
      </c>
      <c r="M9" s="12">
        <v>57</v>
      </c>
      <c r="N9" s="12">
        <v>50</v>
      </c>
      <c r="O9" s="12">
        <v>46</v>
      </c>
      <c r="P9" s="12">
        <v>39</v>
      </c>
      <c r="Q9" s="12">
        <v>53</v>
      </c>
      <c r="R9" s="12">
        <v>44</v>
      </c>
      <c r="S9" s="12">
        <v>43</v>
      </c>
      <c r="T9" s="12">
        <v>40</v>
      </c>
      <c r="U9" s="12">
        <v>33</v>
      </c>
      <c r="V9" s="12">
        <v>35</v>
      </c>
    </row>
    <row r="10" spans="1:25" ht="17.100000000000001" customHeight="1">
      <c r="A10" s="45" t="s">
        <v>23</v>
      </c>
      <c r="B10" s="46">
        <v>81</v>
      </c>
      <c r="C10" s="15">
        <v>71</v>
      </c>
      <c r="D10" s="15">
        <v>67</v>
      </c>
      <c r="E10" s="15">
        <v>87</v>
      </c>
      <c r="F10" s="15">
        <v>77</v>
      </c>
      <c r="G10" s="15">
        <v>76</v>
      </c>
      <c r="H10" s="15">
        <v>72</v>
      </c>
      <c r="I10" s="15">
        <v>87</v>
      </c>
      <c r="J10" s="15">
        <v>89</v>
      </c>
      <c r="K10" s="15">
        <v>87</v>
      </c>
      <c r="L10" s="12">
        <v>69</v>
      </c>
      <c r="M10" s="12">
        <v>73</v>
      </c>
      <c r="N10" s="12">
        <v>76</v>
      </c>
      <c r="O10" s="12">
        <v>77</v>
      </c>
      <c r="P10" s="12">
        <v>81</v>
      </c>
      <c r="Q10" s="12">
        <v>81</v>
      </c>
      <c r="R10" s="12">
        <v>79</v>
      </c>
      <c r="S10" s="12">
        <v>69</v>
      </c>
      <c r="T10" s="12">
        <v>65</v>
      </c>
      <c r="U10" s="12">
        <v>57</v>
      </c>
      <c r="V10" s="12">
        <v>60</v>
      </c>
    </row>
    <row r="11" spans="1:25" ht="17.100000000000001" customHeight="1">
      <c r="A11" s="45" t="s">
        <v>6</v>
      </c>
      <c r="B11" s="46">
        <v>53</v>
      </c>
      <c r="C11" s="15">
        <v>53</v>
      </c>
      <c r="D11" s="15">
        <v>54</v>
      </c>
      <c r="E11" s="15">
        <v>54</v>
      </c>
      <c r="F11" s="15">
        <v>68</v>
      </c>
      <c r="G11" s="15">
        <v>71</v>
      </c>
      <c r="H11" s="15">
        <v>59</v>
      </c>
      <c r="I11" s="15">
        <v>68</v>
      </c>
      <c r="J11" s="15">
        <v>73</v>
      </c>
      <c r="K11" s="15">
        <v>73</v>
      </c>
      <c r="L11" s="12">
        <v>62</v>
      </c>
      <c r="M11" s="12">
        <v>48</v>
      </c>
      <c r="N11" s="12">
        <v>55</v>
      </c>
      <c r="O11" s="12">
        <v>76</v>
      </c>
      <c r="P11" s="12">
        <v>66</v>
      </c>
      <c r="Q11" s="12">
        <v>67</v>
      </c>
      <c r="R11" s="12">
        <v>72</v>
      </c>
      <c r="S11" s="12">
        <v>61</v>
      </c>
      <c r="T11" s="12">
        <v>54</v>
      </c>
      <c r="U11" s="12">
        <v>71</v>
      </c>
      <c r="V11" s="12">
        <v>48</v>
      </c>
      <c r="W11" s="4"/>
    </row>
    <row r="12" spans="1:25" ht="17.100000000000001" customHeight="1">
      <c r="A12" s="45" t="s">
        <v>24</v>
      </c>
      <c r="B12" s="46">
        <v>316</v>
      </c>
      <c r="C12" s="15">
        <v>394</v>
      </c>
      <c r="D12" s="15">
        <v>371</v>
      </c>
      <c r="E12" s="15">
        <v>352</v>
      </c>
      <c r="F12" s="15">
        <v>392</v>
      </c>
      <c r="G12" s="15">
        <v>407</v>
      </c>
      <c r="H12" s="15">
        <v>439</v>
      </c>
      <c r="I12" s="15">
        <v>481</v>
      </c>
      <c r="J12" s="15">
        <v>569</v>
      </c>
      <c r="K12" s="15">
        <v>593</v>
      </c>
      <c r="L12" s="12">
        <v>563</v>
      </c>
      <c r="M12" s="12">
        <v>597</v>
      </c>
      <c r="N12" s="12">
        <v>603</v>
      </c>
      <c r="O12" s="12">
        <v>554</v>
      </c>
      <c r="P12" s="12">
        <v>621</v>
      </c>
      <c r="Q12" s="12">
        <v>569</v>
      </c>
      <c r="R12" s="12">
        <v>567</v>
      </c>
      <c r="S12" s="12">
        <v>539</v>
      </c>
      <c r="T12" s="12">
        <v>485</v>
      </c>
      <c r="U12" s="12">
        <v>512</v>
      </c>
      <c r="V12" s="12">
        <v>471</v>
      </c>
    </row>
    <row r="13" spans="1:25" ht="17.100000000000001" customHeight="1">
      <c r="A13" s="45" t="s">
        <v>25</v>
      </c>
      <c r="B13" s="46">
        <v>5</v>
      </c>
      <c r="C13" s="15">
        <v>7</v>
      </c>
      <c r="D13" s="15"/>
      <c r="E13" s="15">
        <v>11</v>
      </c>
      <c r="F13" s="15">
        <v>3</v>
      </c>
      <c r="G13" s="15">
        <v>5</v>
      </c>
      <c r="H13" s="15">
        <v>11</v>
      </c>
      <c r="I13" s="15">
        <v>5</v>
      </c>
      <c r="J13" s="15">
        <v>8</v>
      </c>
      <c r="K13" s="15">
        <v>8</v>
      </c>
      <c r="L13" s="12">
        <v>10</v>
      </c>
      <c r="M13" s="12">
        <v>12</v>
      </c>
      <c r="N13" s="12">
        <v>13</v>
      </c>
      <c r="O13" s="12">
        <v>6</v>
      </c>
      <c r="P13" s="12">
        <v>14</v>
      </c>
      <c r="Q13" s="12">
        <v>9</v>
      </c>
      <c r="R13" s="12">
        <v>10</v>
      </c>
      <c r="S13" s="12">
        <v>2</v>
      </c>
      <c r="T13" s="12">
        <v>5</v>
      </c>
      <c r="U13" s="12">
        <v>10</v>
      </c>
      <c r="V13" s="12">
        <v>9</v>
      </c>
    </row>
    <row r="14" spans="1:25" ht="17.100000000000001" customHeight="1">
      <c r="A14" s="45" t="s">
        <v>7</v>
      </c>
      <c r="B14" s="46">
        <v>30</v>
      </c>
      <c r="C14" s="15">
        <v>36</v>
      </c>
      <c r="D14" s="15">
        <v>37</v>
      </c>
      <c r="E14" s="15">
        <v>28</v>
      </c>
      <c r="F14" s="15">
        <v>33</v>
      </c>
      <c r="G14" s="15">
        <v>32</v>
      </c>
      <c r="H14" s="15">
        <v>39</v>
      </c>
      <c r="I14" s="15">
        <v>38</v>
      </c>
      <c r="J14" s="15">
        <v>38</v>
      </c>
      <c r="K14" s="15">
        <v>26</v>
      </c>
      <c r="L14" s="12">
        <v>43</v>
      </c>
      <c r="M14" s="12">
        <v>35</v>
      </c>
      <c r="N14" s="12">
        <v>44</v>
      </c>
      <c r="O14" s="12">
        <v>44</v>
      </c>
      <c r="P14" s="12">
        <v>43</v>
      </c>
      <c r="Q14" s="12">
        <v>30</v>
      </c>
      <c r="R14" s="12">
        <v>27</v>
      </c>
      <c r="S14" s="12">
        <v>31</v>
      </c>
      <c r="T14" s="12">
        <v>39</v>
      </c>
      <c r="U14" s="12">
        <v>37</v>
      </c>
      <c r="V14" s="12">
        <v>24</v>
      </c>
    </row>
    <row r="15" spans="1:25" ht="17.100000000000001" customHeight="1">
      <c r="A15" s="45" t="s">
        <v>8</v>
      </c>
      <c r="B15" s="46">
        <v>68</v>
      </c>
      <c r="C15" s="15">
        <v>62</v>
      </c>
      <c r="D15" s="15">
        <v>65</v>
      </c>
      <c r="E15" s="15">
        <v>50</v>
      </c>
      <c r="F15" s="15">
        <v>68</v>
      </c>
      <c r="G15" s="15">
        <v>49</v>
      </c>
      <c r="H15" s="15">
        <v>45</v>
      </c>
      <c r="I15" s="15">
        <v>54</v>
      </c>
      <c r="J15" s="15">
        <v>67</v>
      </c>
      <c r="K15" s="15">
        <v>64</v>
      </c>
      <c r="L15" s="12">
        <v>59</v>
      </c>
      <c r="M15" s="12">
        <v>54</v>
      </c>
      <c r="N15" s="12">
        <v>51</v>
      </c>
      <c r="O15" s="12">
        <v>51</v>
      </c>
      <c r="P15" s="12">
        <v>50</v>
      </c>
      <c r="Q15" s="12">
        <v>63</v>
      </c>
      <c r="R15" s="12">
        <v>50</v>
      </c>
      <c r="S15" s="12">
        <v>47</v>
      </c>
      <c r="T15" s="12">
        <v>49</v>
      </c>
      <c r="U15" s="12">
        <v>52</v>
      </c>
      <c r="V15" s="12">
        <v>57</v>
      </c>
    </row>
    <row r="16" spans="1:25" ht="17.100000000000001" customHeight="1">
      <c r="A16" s="45" t="s">
        <v>26</v>
      </c>
      <c r="B16" s="46">
        <v>40</v>
      </c>
      <c r="C16" s="15">
        <v>39</v>
      </c>
      <c r="D16" s="15">
        <v>39</v>
      </c>
      <c r="E16" s="15">
        <v>36</v>
      </c>
      <c r="F16" s="15">
        <v>43</v>
      </c>
      <c r="G16" s="15">
        <v>33</v>
      </c>
      <c r="H16" s="15">
        <v>27</v>
      </c>
      <c r="I16" s="15">
        <v>48</v>
      </c>
      <c r="J16" s="15">
        <v>40</v>
      </c>
      <c r="K16" s="15">
        <v>37</v>
      </c>
      <c r="L16" s="12">
        <v>35</v>
      </c>
      <c r="M16" s="12">
        <v>36</v>
      </c>
      <c r="N16" s="12">
        <v>33</v>
      </c>
      <c r="O16" s="12">
        <v>28</v>
      </c>
      <c r="P16" s="12">
        <v>27</v>
      </c>
      <c r="Q16" s="12">
        <v>35</v>
      </c>
      <c r="R16" s="12">
        <v>36</v>
      </c>
      <c r="S16" s="12">
        <v>39</v>
      </c>
      <c r="T16" s="12">
        <v>30</v>
      </c>
      <c r="U16" s="12">
        <v>32</v>
      </c>
      <c r="V16" s="12">
        <v>28</v>
      </c>
    </row>
    <row r="17" spans="1:23" ht="17.100000000000001" customHeight="1">
      <c r="A17" s="45" t="s">
        <v>9</v>
      </c>
      <c r="B17" s="46">
        <v>34</v>
      </c>
      <c r="C17" s="15">
        <v>37</v>
      </c>
      <c r="D17" s="15">
        <v>29</v>
      </c>
      <c r="E17" s="15">
        <v>24</v>
      </c>
      <c r="F17" s="15">
        <v>35</v>
      </c>
      <c r="G17" s="15">
        <v>34</v>
      </c>
      <c r="H17" s="15">
        <v>34</v>
      </c>
      <c r="I17" s="15">
        <v>43</v>
      </c>
      <c r="J17" s="15">
        <v>27</v>
      </c>
      <c r="K17" s="15">
        <v>32</v>
      </c>
      <c r="L17" s="12">
        <v>38</v>
      </c>
      <c r="M17" s="12">
        <v>28</v>
      </c>
      <c r="N17" s="12">
        <v>36</v>
      </c>
      <c r="O17" s="12">
        <v>33</v>
      </c>
      <c r="P17" s="12">
        <v>28</v>
      </c>
      <c r="Q17" s="12">
        <v>45</v>
      </c>
      <c r="R17" s="12">
        <v>31</v>
      </c>
      <c r="S17" s="12">
        <v>39</v>
      </c>
      <c r="T17" s="12">
        <v>36</v>
      </c>
      <c r="U17" s="12">
        <v>40</v>
      </c>
      <c r="V17" s="12">
        <v>44</v>
      </c>
    </row>
    <row r="18" spans="1:23" ht="17.100000000000001" customHeight="1">
      <c r="A18" s="45" t="s">
        <v>10</v>
      </c>
      <c r="B18" s="46">
        <v>78</v>
      </c>
      <c r="C18" s="15">
        <v>86</v>
      </c>
      <c r="D18" s="15">
        <v>88</v>
      </c>
      <c r="E18" s="15">
        <v>87</v>
      </c>
      <c r="F18" s="15">
        <v>92</v>
      </c>
      <c r="G18" s="15">
        <v>106</v>
      </c>
      <c r="H18" s="15">
        <v>109</v>
      </c>
      <c r="I18" s="15">
        <v>121</v>
      </c>
      <c r="J18" s="15">
        <v>156</v>
      </c>
      <c r="K18" s="15">
        <v>143</v>
      </c>
      <c r="L18" s="12">
        <v>158</v>
      </c>
      <c r="M18" s="12">
        <v>139</v>
      </c>
      <c r="N18" s="12">
        <v>151</v>
      </c>
      <c r="O18" s="12">
        <v>130</v>
      </c>
      <c r="P18" s="12">
        <v>156</v>
      </c>
      <c r="Q18" s="12">
        <v>148</v>
      </c>
      <c r="R18" s="12">
        <v>172</v>
      </c>
      <c r="S18" s="12">
        <v>170</v>
      </c>
      <c r="T18" s="12">
        <v>137</v>
      </c>
      <c r="U18" s="12">
        <v>130</v>
      </c>
      <c r="V18" s="12">
        <v>120</v>
      </c>
    </row>
    <row r="19" spans="1:23" ht="17.100000000000001" customHeight="1">
      <c r="A19" s="45" t="s">
        <v>21</v>
      </c>
      <c r="B19" s="46">
        <v>19</v>
      </c>
      <c r="C19" s="15">
        <v>19</v>
      </c>
      <c r="D19" s="15">
        <v>23</v>
      </c>
      <c r="E19" s="15">
        <v>16</v>
      </c>
      <c r="F19" s="15">
        <v>13</v>
      </c>
      <c r="G19" s="15">
        <v>23</v>
      </c>
      <c r="H19" s="15">
        <v>18</v>
      </c>
      <c r="I19" s="15">
        <v>23</v>
      </c>
      <c r="J19" s="15">
        <v>18</v>
      </c>
      <c r="K19" s="15">
        <v>18</v>
      </c>
      <c r="L19" s="12">
        <v>16</v>
      </c>
      <c r="M19" s="12">
        <v>13</v>
      </c>
      <c r="N19" s="12">
        <v>21</v>
      </c>
      <c r="O19" s="12">
        <v>18</v>
      </c>
      <c r="P19" s="12">
        <v>17</v>
      </c>
      <c r="Q19" s="12">
        <v>20</v>
      </c>
      <c r="R19" s="12">
        <v>17</v>
      </c>
      <c r="S19" s="12">
        <v>17</v>
      </c>
      <c r="T19" s="12">
        <v>20</v>
      </c>
      <c r="U19" s="12">
        <v>8</v>
      </c>
      <c r="V19" s="12">
        <v>20</v>
      </c>
    </row>
    <row r="20" spans="1:23" ht="17.100000000000001" customHeight="1">
      <c r="A20" s="45" t="s">
        <v>11</v>
      </c>
      <c r="B20" s="46">
        <v>59</v>
      </c>
      <c r="C20" s="15">
        <v>67</v>
      </c>
      <c r="D20" s="15">
        <v>55</v>
      </c>
      <c r="E20" s="15">
        <v>62</v>
      </c>
      <c r="F20" s="15">
        <v>61</v>
      </c>
      <c r="G20" s="15">
        <v>84</v>
      </c>
      <c r="H20" s="15">
        <v>59</v>
      </c>
      <c r="I20" s="15">
        <v>68</v>
      </c>
      <c r="J20" s="15">
        <v>68</v>
      </c>
      <c r="K20" s="15">
        <v>81</v>
      </c>
      <c r="L20" s="12">
        <v>64</v>
      </c>
      <c r="M20" s="12">
        <v>66</v>
      </c>
      <c r="N20" s="12">
        <v>66</v>
      </c>
      <c r="O20" s="12">
        <v>69</v>
      </c>
      <c r="P20" s="12">
        <v>66</v>
      </c>
      <c r="Q20" s="12">
        <v>65</v>
      </c>
      <c r="R20" s="12">
        <v>70</v>
      </c>
      <c r="S20" s="12">
        <v>78</v>
      </c>
      <c r="T20" s="12">
        <v>61</v>
      </c>
      <c r="U20" s="12">
        <v>68</v>
      </c>
      <c r="V20" s="12">
        <v>57</v>
      </c>
    </row>
    <row r="21" spans="1:23" ht="17.100000000000001" customHeight="1">
      <c r="A21" s="45" t="s">
        <v>27</v>
      </c>
      <c r="B21" s="46">
        <v>44</v>
      </c>
      <c r="C21" s="15">
        <v>49</v>
      </c>
      <c r="D21" s="15">
        <v>66</v>
      </c>
      <c r="E21" s="15">
        <v>49</v>
      </c>
      <c r="F21" s="15">
        <v>58</v>
      </c>
      <c r="G21" s="15">
        <v>50</v>
      </c>
      <c r="H21" s="15">
        <v>57</v>
      </c>
      <c r="I21" s="15">
        <v>42</v>
      </c>
      <c r="J21" s="15">
        <v>64</v>
      </c>
      <c r="K21" s="15">
        <v>61</v>
      </c>
      <c r="L21" s="12">
        <v>37</v>
      </c>
      <c r="M21" s="12">
        <v>72</v>
      </c>
      <c r="N21" s="12">
        <v>48</v>
      </c>
      <c r="O21" s="12">
        <v>60</v>
      </c>
      <c r="P21" s="12">
        <v>59</v>
      </c>
      <c r="Q21" s="12">
        <v>40</v>
      </c>
      <c r="R21" s="12">
        <v>52</v>
      </c>
      <c r="S21" s="12">
        <v>52</v>
      </c>
      <c r="T21" s="12">
        <v>33</v>
      </c>
      <c r="U21" s="12">
        <v>41</v>
      </c>
      <c r="V21" s="12">
        <v>51</v>
      </c>
    </row>
    <row r="22" spans="1:23" ht="17.100000000000001" customHeight="1">
      <c r="A22" s="45" t="s">
        <v>2</v>
      </c>
      <c r="B22" s="46">
        <v>209</v>
      </c>
      <c r="C22" s="15">
        <v>204</v>
      </c>
      <c r="D22" s="15">
        <v>172</v>
      </c>
      <c r="E22" s="15">
        <v>152</v>
      </c>
      <c r="F22" s="15">
        <v>161</v>
      </c>
      <c r="G22" s="15">
        <v>169</v>
      </c>
      <c r="H22" s="15">
        <v>139</v>
      </c>
      <c r="I22" s="15">
        <v>166</v>
      </c>
      <c r="J22" s="15">
        <v>140</v>
      </c>
      <c r="K22" s="15">
        <v>130</v>
      </c>
      <c r="L22" s="12">
        <v>141</v>
      </c>
      <c r="M22" s="12">
        <v>133</v>
      </c>
      <c r="N22" s="12">
        <v>152</v>
      </c>
      <c r="O22" s="12">
        <v>153</v>
      </c>
      <c r="P22" s="12">
        <v>141</v>
      </c>
      <c r="Q22" s="12">
        <v>98</v>
      </c>
      <c r="R22" s="12">
        <v>110</v>
      </c>
      <c r="S22" s="12">
        <v>117</v>
      </c>
      <c r="T22" s="12">
        <v>109</v>
      </c>
      <c r="U22" s="12">
        <v>122</v>
      </c>
      <c r="V22" s="12">
        <v>114</v>
      </c>
      <c r="W22" s="4"/>
    </row>
    <row r="23" spans="1:23" ht="17.100000000000001" customHeight="1">
      <c r="A23" s="45" t="s">
        <v>3</v>
      </c>
      <c r="B23" s="46">
        <v>155</v>
      </c>
      <c r="C23" s="15">
        <v>151</v>
      </c>
      <c r="D23" s="15">
        <v>136</v>
      </c>
      <c r="E23" s="15">
        <v>118</v>
      </c>
      <c r="F23" s="15">
        <v>110</v>
      </c>
      <c r="G23" s="15">
        <v>94</v>
      </c>
      <c r="H23" s="15">
        <v>104</v>
      </c>
      <c r="I23" s="15">
        <v>112</v>
      </c>
      <c r="J23" s="15">
        <v>116</v>
      </c>
      <c r="K23" s="15">
        <v>108</v>
      </c>
      <c r="L23" s="12">
        <v>83</v>
      </c>
      <c r="M23" s="12">
        <v>94</v>
      </c>
      <c r="N23" s="12">
        <v>85</v>
      </c>
      <c r="O23" s="12">
        <v>126</v>
      </c>
      <c r="P23" s="12">
        <v>121</v>
      </c>
      <c r="Q23" s="12">
        <v>106</v>
      </c>
      <c r="R23" s="12">
        <v>82</v>
      </c>
      <c r="S23" s="12">
        <v>92</v>
      </c>
      <c r="T23" s="12">
        <v>90</v>
      </c>
      <c r="U23" s="12">
        <v>89</v>
      </c>
      <c r="V23" s="12">
        <v>104</v>
      </c>
      <c r="W23" s="4"/>
    </row>
    <row r="24" spans="1:23" ht="17.100000000000001" customHeight="1">
      <c r="A24" s="45" t="s">
        <v>28</v>
      </c>
      <c r="B24" s="46">
        <v>7</v>
      </c>
      <c r="C24" s="15">
        <v>9</v>
      </c>
      <c r="D24" s="15">
        <v>5</v>
      </c>
      <c r="E24" s="15">
        <v>11</v>
      </c>
      <c r="F24" s="15">
        <v>7</v>
      </c>
      <c r="G24" s="15">
        <v>5</v>
      </c>
      <c r="H24" s="15">
        <v>9</v>
      </c>
      <c r="I24" s="15">
        <v>13</v>
      </c>
      <c r="J24" s="15">
        <v>10</v>
      </c>
      <c r="K24" s="15">
        <v>7</v>
      </c>
      <c r="L24" s="12">
        <v>16</v>
      </c>
      <c r="M24" s="12">
        <v>14</v>
      </c>
      <c r="N24" s="12">
        <v>8</v>
      </c>
      <c r="O24" s="12">
        <v>7</v>
      </c>
      <c r="P24" s="12">
        <v>13</v>
      </c>
      <c r="Q24" s="12">
        <v>10</v>
      </c>
      <c r="R24" s="12">
        <v>9</v>
      </c>
      <c r="S24" s="12">
        <v>12</v>
      </c>
      <c r="T24" s="12">
        <v>16</v>
      </c>
      <c r="U24" s="12">
        <v>8</v>
      </c>
      <c r="V24" s="12">
        <v>7</v>
      </c>
    </row>
    <row r="25" spans="1:23" ht="17.100000000000001" customHeight="1">
      <c r="A25" s="45" t="s">
        <v>29</v>
      </c>
      <c r="B25" s="46">
        <v>422</v>
      </c>
      <c r="C25" s="15">
        <v>413</v>
      </c>
      <c r="D25" s="15">
        <v>415</v>
      </c>
      <c r="E25" s="15">
        <v>411</v>
      </c>
      <c r="F25" s="15">
        <v>405</v>
      </c>
      <c r="G25" s="15">
        <v>410</v>
      </c>
      <c r="H25" s="15">
        <v>410</v>
      </c>
      <c r="I25" s="15">
        <v>493</v>
      </c>
      <c r="J25" s="15">
        <v>475</v>
      </c>
      <c r="K25" s="15">
        <v>465</v>
      </c>
      <c r="L25" s="12">
        <v>452</v>
      </c>
      <c r="M25" s="12">
        <v>474</v>
      </c>
      <c r="N25" s="12">
        <v>386</v>
      </c>
      <c r="O25" s="12">
        <v>350</v>
      </c>
      <c r="P25" s="12">
        <v>410</v>
      </c>
      <c r="Q25" s="12">
        <v>382</v>
      </c>
      <c r="R25" s="12">
        <v>392</v>
      </c>
      <c r="S25" s="12">
        <v>362</v>
      </c>
      <c r="T25" s="12">
        <v>321</v>
      </c>
      <c r="U25" s="12">
        <v>344</v>
      </c>
      <c r="V25" s="12">
        <v>299</v>
      </c>
    </row>
    <row r="26" spans="1:23" ht="17.100000000000001" customHeight="1">
      <c r="A26" s="45" t="s">
        <v>30</v>
      </c>
      <c r="B26" s="46">
        <v>1543</v>
      </c>
      <c r="C26" s="15">
        <v>1622</v>
      </c>
      <c r="D26" s="15">
        <v>1580</v>
      </c>
      <c r="E26" s="15">
        <v>1589</v>
      </c>
      <c r="F26" s="15">
        <v>1599</v>
      </c>
      <c r="G26" s="15">
        <v>1568</v>
      </c>
      <c r="H26" s="15">
        <v>1552</v>
      </c>
      <c r="I26" s="15">
        <v>1552</v>
      </c>
      <c r="J26" s="15">
        <v>1505</v>
      </c>
      <c r="K26" s="15">
        <v>1448</v>
      </c>
      <c r="L26" s="12">
        <v>1370</v>
      </c>
      <c r="M26" s="12">
        <v>1371</v>
      </c>
      <c r="N26" s="12">
        <v>1299</v>
      </c>
      <c r="O26" s="12">
        <v>1314</v>
      </c>
      <c r="P26" s="12">
        <v>1236</v>
      </c>
      <c r="Q26" s="12">
        <v>1253</v>
      </c>
      <c r="R26" s="12">
        <v>1151</v>
      </c>
      <c r="S26" s="12">
        <v>1090</v>
      </c>
      <c r="T26" s="12">
        <v>988</v>
      </c>
      <c r="U26" s="12">
        <v>979</v>
      </c>
      <c r="V26" s="12">
        <v>868</v>
      </c>
    </row>
    <row r="27" spans="1:23" ht="17.100000000000001" customHeight="1">
      <c r="A27" s="45" t="s">
        <v>12</v>
      </c>
      <c r="B27" s="46">
        <v>40</v>
      </c>
      <c r="C27" s="15">
        <v>36</v>
      </c>
      <c r="D27" s="15">
        <v>33</v>
      </c>
      <c r="E27" s="15">
        <v>41</v>
      </c>
      <c r="F27" s="15">
        <v>31</v>
      </c>
      <c r="G27" s="15">
        <v>45</v>
      </c>
      <c r="H27" s="15">
        <v>50</v>
      </c>
      <c r="I27" s="15">
        <v>26</v>
      </c>
      <c r="J27" s="15">
        <v>39</v>
      </c>
      <c r="K27" s="15">
        <v>41</v>
      </c>
      <c r="L27" s="12">
        <v>30</v>
      </c>
      <c r="M27" s="12">
        <v>41</v>
      </c>
      <c r="N27" s="12">
        <v>36</v>
      </c>
      <c r="O27" s="12">
        <v>41</v>
      </c>
      <c r="P27" s="12">
        <v>36</v>
      </c>
      <c r="Q27" s="12">
        <v>41</v>
      </c>
      <c r="R27" s="12">
        <v>43</v>
      </c>
      <c r="S27" s="12">
        <v>41</v>
      </c>
      <c r="T27" s="12">
        <v>27</v>
      </c>
      <c r="U27" s="12">
        <v>34</v>
      </c>
      <c r="V27" s="12">
        <v>31</v>
      </c>
    </row>
    <row r="28" spans="1:23" ht="17.100000000000001" customHeight="1">
      <c r="A28" s="45" t="s">
        <v>4</v>
      </c>
      <c r="B28" s="46">
        <v>60</v>
      </c>
      <c r="C28" s="15">
        <v>70</v>
      </c>
      <c r="D28" s="15">
        <v>79</v>
      </c>
      <c r="E28" s="15">
        <v>75</v>
      </c>
      <c r="F28" s="15">
        <v>73</v>
      </c>
      <c r="G28" s="15">
        <v>51</v>
      </c>
      <c r="H28" s="15">
        <v>62</v>
      </c>
      <c r="I28" s="15">
        <v>53</v>
      </c>
      <c r="J28" s="15">
        <v>55</v>
      </c>
      <c r="K28" s="15">
        <v>60</v>
      </c>
      <c r="L28" s="12">
        <v>52</v>
      </c>
      <c r="M28" s="12">
        <v>50</v>
      </c>
      <c r="N28" s="12">
        <v>41</v>
      </c>
      <c r="O28" s="12">
        <v>41</v>
      </c>
      <c r="P28" s="12">
        <v>47</v>
      </c>
      <c r="Q28" s="12">
        <v>36</v>
      </c>
      <c r="R28" s="12">
        <v>39</v>
      </c>
      <c r="S28" s="12">
        <v>53</v>
      </c>
      <c r="T28" s="12">
        <v>31</v>
      </c>
      <c r="U28" s="12">
        <v>44</v>
      </c>
      <c r="V28" s="12">
        <v>38</v>
      </c>
      <c r="W28" s="4"/>
    </row>
    <row r="29" spans="1:23" ht="17.100000000000001" customHeight="1">
      <c r="A29" s="45" t="s">
        <v>31</v>
      </c>
      <c r="B29" s="46">
        <v>269</v>
      </c>
      <c r="C29" s="15">
        <v>284</v>
      </c>
      <c r="D29" s="15">
        <v>312</v>
      </c>
      <c r="E29" s="15">
        <v>325</v>
      </c>
      <c r="F29" s="15">
        <v>320</v>
      </c>
      <c r="G29" s="15">
        <v>340</v>
      </c>
      <c r="H29" s="15">
        <v>317</v>
      </c>
      <c r="I29" s="15">
        <v>374</v>
      </c>
      <c r="J29" s="15">
        <v>330</v>
      </c>
      <c r="K29" s="15">
        <v>366</v>
      </c>
      <c r="L29" s="12">
        <v>382</v>
      </c>
      <c r="M29" s="12">
        <v>435</v>
      </c>
      <c r="N29" s="12">
        <v>380</v>
      </c>
      <c r="O29" s="12">
        <v>421</v>
      </c>
      <c r="P29" s="12">
        <v>408</v>
      </c>
      <c r="Q29" s="12">
        <v>416</v>
      </c>
      <c r="R29" s="12">
        <v>438</v>
      </c>
      <c r="S29" s="12">
        <v>420</v>
      </c>
      <c r="T29" s="12">
        <v>352</v>
      </c>
      <c r="U29" s="12">
        <v>391</v>
      </c>
      <c r="V29" s="12">
        <v>353</v>
      </c>
    </row>
    <row r="30" spans="1:23" ht="17.100000000000001" customHeight="1">
      <c r="A30" s="45" t="s">
        <v>13</v>
      </c>
      <c r="B30" s="46">
        <v>97</v>
      </c>
      <c r="C30" s="15">
        <v>78</v>
      </c>
      <c r="D30" s="15">
        <v>86</v>
      </c>
      <c r="E30" s="15">
        <v>70</v>
      </c>
      <c r="F30" s="15">
        <v>71</v>
      </c>
      <c r="G30" s="15">
        <v>103</v>
      </c>
      <c r="H30" s="15">
        <v>83</v>
      </c>
      <c r="I30" s="15">
        <v>85</v>
      </c>
      <c r="J30" s="15">
        <v>84</v>
      </c>
      <c r="K30" s="15">
        <v>76</v>
      </c>
      <c r="L30" s="12">
        <v>97</v>
      </c>
      <c r="M30" s="12">
        <v>71</v>
      </c>
      <c r="N30" s="12">
        <v>74</v>
      </c>
      <c r="O30" s="12">
        <v>61</v>
      </c>
      <c r="P30" s="12">
        <v>61</v>
      </c>
      <c r="Q30" s="12">
        <v>64</v>
      </c>
      <c r="R30" s="12">
        <v>77</v>
      </c>
      <c r="S30" s="12">
        <v>81</v>
      </c>
      <c r="T30" s="12">
        <v>60</v>
      </c>
      <c r="U30" s="12">
        <v>50</v>
      </c>
      <c r="V30" s="12">
        <v>68</v>
      </c>
    </row>
    <row r="31" spans="1:23" ht="17.100000000000001" customHeight="1">
      <c r="A31" s="45" t="s">
        <v>14</v>
      </c>
      <c r="B31" s="46">
        <v>44</v>
      </c>
      <c r="C31" s="15">
        <v>35</v>
      </c>
      <c r="D31" s="15">
        <v>32</v>
      </c>
      <c r="E31" s="15">
        <v>25</v>
      </c>
      <c r="F31" s="15">
        <v>39</v>
      </c>
      <c r="G31" s="15">
        <v>38</v>
      </c>
      <c r="H31" s="15">
        <v>35</v>
      </c>
      <c r="I31" s="15">
        <v>28</v>
      </c>
      <c r="J31" s="15">
        <v>29</v>
      </c>
      <c r="K31" s="15">
        <v>33</v>
      </c>
      <c r="L31" s="12">
        <v>39</v>
      </c>
      <c r="M31" s="12">
        <v>26</v>
      </c>
      <c r="N31" s="12">
        <v>40</v>
      </c>
      <c r="O31" s="12">
        <v>36</v>
      </c>
      <c r="P31" s="12">
        <v>42</v>
      </c>
      <c r="Q31" s="12">
        <v>30</v>
      </c>
      <c r="R31" s="12">
        <v>34</v>
      </c>
      <c r="S31" s="12">
        <v>27</v>
      </c>
      <c r="T31" s="12">
        <v>30</v>
      </c>
      <c r="U31" s="12">
        <v>25</v>
      </c>
      <c r="V31" s="12">
        <v>32</v>
      </c>
    </row>
    <row r="32" spans="1:23" ht="17.100000000000001" customHeight="1">
      <c r="A32" s="45" t="s">
        <v>15</v>
      </c>
      <c r="B32" s="46">
        <v>36</v>
      </c>
      <c r="C32" s="15">
        <v>44</v>
      </c>
      <c r="D32" s="15">
        <v>30</v>
      </c>
      <c r="E32" s="15">
        <v>20</v>
      </c>
      <c r="F32" s="15">
        <v>43</v>
      </c>
      <c r="G32" s="15">
        <v>26</v>
      </c>
      <c r="H32" s="15">
        <v>30</v>
      </c>
      <c r="I32" s="15">
        <v>42</v>
      </c>
      <c r="J32" s="15">
        <v>31</v>
      </c>
      <c r="K32" s="15">
        <v>40</v>
      </c>
      <c r="L32" s="12">
        <v>41</v>
      </c>
      <c r="M32" s="12">
        <v>46</v>
      </c>
      <c r="N32" s="12">
        <v>20</v>
      </c>
      <c r="O32" s="12">
        <v>23</v>
      </c>
      <c r="P32" s="12">
        <v>32</v>
      </c>
      <c r="Q32" s="12">
        <v>24</v>
      </c>
      <c r="R32" s="12">
        <v>31</v>
      </c>
      <c r="S32" s="12">
        <v>27</v>
      </c>
      <c r="T32" s="12">
        <v>22</v>
      </c>
      <c r="U32" s="12">
        <v>29</v>
      </c>
      <c r="V32" s="12">
        <v>27</v>
      </c>
    </row>
    <row r="33" spans="1:22" ht="17.100000000000001" customHeight="1">
      <c r="A33" s="45" t="s">
        <v>16</v>
      </c>
      <c r="B33" s="46">
        <v>22</v>
      </c>
      <c r="C33" s="15">
        <v>38</v>
      </c>
      <c r="D33" s="15">
        <v>25</v>
      </c>
      <c r="E33" s="15">
        <v>17</v>
      </c>
      <c r="F33" s="15">
        <v>26</v>
      </c>
      <c r="G33" s="15">
        <v>36</v>
      </c>
      <c r="H33" s="15">
        <v>31</v>
      </c>
      <c r="I33" s="15">
        <v>32</v>
      </c>
      <c r="J33" s="15">
        <v>29</v>
      </c>
      <c r="K33" s="15">
        <v>41</v>
      </c>
      <c r="L33" s="12">
        <v>44</v>
      </c>
      <c r="M33" s="12">
        <v>41</v>
      </c>
      <c r="N33" s="12">
        <v>35</v>
      </c>
      <c r="O33" s="12">
        <v>40</v>
      </c>
      <c r="P33" s="12">
        <v>42</v>
      </c>
      <c r="Q33" s="12">
        <v>44</v>
      </c>
      <c r="R33" s="12">
        <v>54</v>
      </c>
      <c r="S33" s="12">
        <v>45</v>
      </c>
      <c r="T33" s="12">
        <v>63</v>
      </c>
      <c r="U33" s="12">
        <v>36</v>
      </c>
      <c r="V33" s="12">
        <v>29</v>
      </c>
    </row>
    <row r="34" spans="1:22" ht="17.100000000000001" customHeight="1">
      <c r="A34" s="45" t="s">
        <v>17</v>
      </c>
      <c r="B34" s="46">
        <v>22</v>
      </c>
      <c r="C34" s="15">
        <v>39</v>
      </c>
      <c r="D34" s="15">
        <v>22</v>
      </c>
      <c r="E34" s="15">
        <v>23</v>
      </c>
      <c r="F34" s="15">
        <v>19</v>
      </c>
      <c r="G34" s="15">
        <v>27</v>
      </c>
      <c r="H34" s="15">
        <v>25</v>
      </c>
      <c r="I34" s="15">
        <v>35</v>
      </c>
      <c r="J34" s="15">
        <v>22</v>
      </c>
      <c r="K34" s="15">
        <v>21</v>
      </c>
      <c r="L34" s="12">
        <v>27</v>
      </c>
      <c r="M34" s="12">
        <v>22</v>
      </c>
      <c r="N34" s="12">
        <v>36</v>
      </c>
      <c r="O34" s="12">
        <v>25</v>
      </c>
      <c r="P34" s="12">
        <v>20</v>
      </c>
      <c r="Q34" s="12">
        <v>33</v>
      </c>
      <c r="R34" s="12">
        <v>29</v>
      </c>
      <c r="S34" s="12">
        <v>29</v>
      </c>
      <c r="T34" s="12">
        <v>24</v>
      </c>
      <c r="U34" s="12">
        <v>34</v>
      </c>
      <c r="V34" s="12">
        <v>27</v>
      </c>
    </row>
    <row r="35" spans="1:22" ht="17.100000000000001" customHeight="1">
      <c r="A35" s="45" t="s">
        <v>18</v>
      </c>
      <c r="B35" s="46">
        <v>56</v>
      </c>
      <c r="C35" s="15">
        <v>48</v>
      </c>
      <c r="D35" s="15">
        <v>42</v>
      </c>
      <c r="E35" s="15">
        <v>46</v>
      </c>
      <c r="F35" s="15">
        <v>47</v>
      </c>
      <c r="G35" s="15">
        <v>52</v>
      </c>
      <c r="H35" s="15">
        <v>57</v>
      </c>
      <c r="I35" s="15">
        <v>60</v>
      </c>
      <c r="J35" s="15">
        <v>46</v>
      </c>
      <c r="K35" s="15">
        <v>56</v>
      </c>
      <c r="L35" s="12">
        <v>53</v>
      </c>
      <c r="M35" s="12">
        <v>45</v>
      </c>
      <c r="N35" s="12">
        <v>45</v>
      </c>
      <c r="O35" s="12">
        <v>46</v>
      </c>
      <c r="P35" s="12">
        <v>50</v>
      </c>
      <c r="Q35" s="12">
        <v>40</v>
      </c>
      <c r="R35" s="12">
        <v>47</v>
      </c>
      <c r="S35" s="12">
        <v>36</v>
      </c>
      <c r="T35" s="12">
        <v>42</v>
      </c>
      <c r="U35" s="12">
        <v>39</v>
      </c>
      <c r="V35" s="12">
        <v>43</v>
      </c>
    </row>
    <row r="36" spans="1:22" ht="17.100000000000001" customHeight="1">
      <c r="A36" s="45" t="s">
        <v>32</v>
      </c>
      <c r="B36" s="46">
        <v>11</v>
      </c>
      <c r="C36" s="15">
        <v>7</v>
      </c>
      <c r="D36" s="15">
        <v>7</v>
      </c>
      <c r="E36" s="15">
        <v>7</v>
      </c>
      <c r="F36" s="15">
        <v>2</v>
      </c>
      <c r="G36" s="15">
        <v>11</v>
      </c>
      <c r="H36" s="15">
        <v>4</v>
      </c>
      <c r="I36" s="15">
        <v>10</v>
      </c>
      <c r="J36" s="15">
        <v>7</v>
      </c>
      <c r="K36" s="15">
        <v>5</v>
      </c>
      <c r="L36" s="12">
        <v>9</v>
      </c>
      <c r="M36" s="12">
        <v>10</v>
      </c>
      <c r="N36" s="12">
        <v>5</v>
      </c>
      <c r="O36" s="12">
        <v>9</v>
      </c>
      <c r="P36" s="12">
        <v>11</v>
      </c>
      <c r="Q36" s="12">
        <v>4</v>
      </c>
      <c r="R36" s="12">
        <v>3</v>
      </c>
      <c r="S36" s="12">
        <v>7</v>
      </c>
      <c r="T36" s="12">
        <v>7</v>
      </c>
      <c r="U36" s="12">
        <v>2</v>
      </c>
      <c r="V36" s="12">
        <v>5</v>
      </c>
    </row>
    <row r="37" spans="1:22" ht="17.100000000000001" customHeight="1">
      <c r="A37" s="45" t="s">
        <v>33</v>
      </c>
      <c r="B37" s="46">
        <v>54</v>
      </c>
      <c r="C37" s="15">
        <v>48</v>
      </c>
      <c r="D37" s="15">
        <v>39</v>
      </c>
      <c r="E37" s="15">
        <v>50</v>
      </c>
      <c r="F37" s="15">
        <v>43</v>
      </c>
      <c r="G37" s="15">
        <v>47</v>
      </c>
      <c r="H37" s="15">
        <v>51</v>
      </c>
      <c r="I37" s="15">
        <v>36</v>
      </c>
      <c r="J37" s="15">
        <v>43</v>
      </c>
      <c r="K37" s="15">
        <v>42</v>
      </c>
      <c r="L37" s="12">
        <v>40</v>
      </c>
      <c r="M37" s="12">
        <v>41</v>
      </c>
      <c r="N37" s="12">
        <v>30</v>
      </c>
      <c r="O37" s="12">
        <v>48</v>
      </c>
      <c r="P37" s="12">
        <v>36</v>
      </c>
      <c r="Q37" s="12">
        <v>43</v>
      </c>
      <c r="R37" s="12">
        <v>34</v>
      </c>
      <c r="S37" s="12">
        <v>32</v>
      </c>
      <c r="T37" s="12">
        <v>46</v>
      </c>
      <c r="U37" s="12">
        <v>24</v>
      </c>
      <c r="V37" s="12">
        <v>40</v>
      </c>
    </row>
    <row r="38" spans="1:22" ht="17.100000000000001" customHeight="1">
      <c r="A38" s="45" t="s">
        <v>19</v>
      </c>
      <c r="B38" s="46">
        <v>29</v>
      </c>
      <c r="C38" s="15">
        <v>25</v>
      </c>
      <c r="D38" s="15">
        <v>23</v>
      </c>
      <c r="E38" s="15">
        <v>20</v>
      </c>
      <c r="F38" s="15">
        <v>32</v>
      </c>
      <c r="G38" s="15">
        <v>32</v>
      </c>
      <c r="H38" s="15">
        <v>35</v>
      </c>
      <c r="I38" s="15">
        <v>32</v>
      </c>
      <c r="J38" s="15">
        <v>30</v>
      </c>
      <c r="K38" s="15">
        <v>38</v>
      </c>
      <c r="L38" s="12">
        <v>30</v>
      </c>
      <c r="M38" s="12">
        <v>20</v>
      </c>
      <c r="N38" s="12">
        <v>39</v>
      </c>
      <c r="O38" s="12">
        <v>30</v>
      </c>
      <c r="P38" s="12">
        <v>38</v>
      </c>
      <c r="Q38" s="12">
        <v>32</v>
      </c>
      <c r="R38" s="12">
        <v>23</v>
      </c>
      <c r="S38" s="12">
        <v>34</v>
      </c>
      <c r="T38" s="12">
        <v>29</v>
      </c>
      <c r="U38" s="12">
        <v>24</v>
      </c>
      <c r="V38" s="12">
        <v>23</v>
      </c>
    </row>
    <row r="39" spans="1:22" ht="17.100000000000001" customHeight="1">
      <c r="A39" s="45" t="s">
        <v>20</v>
      </c>
      <c r="B39" s="46">
        <v>29</v>
      </c>
      <c r="C39" s="15">
        <v>36</v>
      </c>
      <c r="D39" s="15">
        <v>44</v>
      </c>
      <c r="E39" s="15">
        <v>50</v>
      </c>
      <c r="F39" s="15">
        <v>48</v>
      </c>
      <c r="G39" s="15">
        <v>50</v>
      </c>
      <c r="H39" s="15">
        <v>49</v>
      </c>
      <c r="I39" s="15">
        <v>53</v>
      </c>
      <c r="J39" s="15">
        <v>62</v>
      </c>
      <c r="K39" s="15">
        <v>73</v>
      </c>
      <c r="L39" s="12">
        <v>43</v>
      </c>
      <c r="M39" s="12">
        <v>63</v>
      </c>
      <c r="N39" s="12">
        <v>59</v>
      </c>
      <c r="O39" s="12">
        <v>57</v>
      </c>
      <c r="P39" s="12">
        <v>52</v>
      </c>
      <c r="Q39" s="12">
        <v>46</v>
      </c>
      <c r="R39" s="12">
        <v>55</v>
      </c>
      <c r="S39" s="12">
        <v>64</v>
      </c>
      <c r="T39" s="12">
        <v>59</v>
      </c>
      <c r="U39" s="12">
        <v>50</v>
      </c>
      <c r="V39" s="12">
        <v>40</v>
      </c>
    </row>
    <row r="40" spans="1:22" ht="17.100000000000001" customHeight="1" thickBot="1">
      <c r="A40" s="45" t="s">
        <v>34</v>
      </c>
      <c r="B40" s="46">
        <v>35</v>
      </c>
      <c r="C40" s="15">
        <v>33</v>
      </c>
      <c r="D40" s="15">
        <v>35</v>
      </c>
      <c r="E40" s="15">
        <v>35</v>
      </c>
      <c r="F40" s="15">
        <v>26</v>
      </c>
      <c r="G40" s="15">
        <v>31</v>
      </c>
      <c r="H40" s="15">
        <v>30</v>
      </c>
      <c r="I40" s="15">
        <v>31</v>
      </c>
      <c r="J40" s="15">
        <v>31</v>
      </c>
      <c r="K40" s="15">
        <v>26</v>
      </c>
      <c r="L40" s="12">
        <v>23</v>
      </c>
      <c r="M40" s="12">
        <v>24</v>
      </c>
      <c r="N40" s="12">
        <v>20</v>
      </c>
      <c r="O40" s="12">
        <v>22</v>
      </c>
      <c r="P40" s="12">
        <v>19</v>
      </c>
      <c r="Q40" s="12">
        <v>35</v>
      </c>
      <c r="R40" s="12">
        <v>36</v>
      </c>
      <c r="S40" s="12">
        <v>30</v>
      </c>
      <c r="T40" s="12">
        <v>23</v>
      </c>
      <c r="U40" s="12">
        <v>11</v>
      </c>
      <c r="V40" s="12">
        <v>24</v>
      </c>
    </row>
    <row r="41" spans="1:22" ht="17.100000000000001" customHeight="1">
      <c r="A41" s="47" t="s">
        <v>68</v>
      </c>
      <c r="B41" s="48">
        <v>424</v>
      </c>
      <c r="C41" s="93">
        <v>425</v>
      </c>
      <c r="D41" s="93">
        <v>387</v>
      </c>
      <c r="E41" s="93">
        <v>345</v>
      </c>
      <c r="F41" s="93">
        <v>344</v>
      </c>
      <c r="G41" s="93">
        <v>314</v>
      </c>
      <c r="H41" s="93">
        <v>305</v>
      </c>
      <c r="I41" s="93">
        <v>331</v>
      </c>
      <c r="J41" s="93">
        <v>311</v>
      </c>
      <c r="K41" s="93">
        <v>298</v>
      </c>
      <c r="L41" s="93">
        <v>276</v>
      </c>
      <c r="M41" s="93">
        <v>277</v>
      </c>
      <c r="N41" s="93">
        <v>278</v>
      </c>
      <c r="O41" s="93">
        <v>320</v>
      </c>
      <c r="P41" s="93">
        <v>309</v>
      </c>
      <c r="Q41" s="93">
        <v>240</v>
      </c>
      <c r="R41" s="93">
        <v>231</v>
      </c>
      <c r="S41" s="93">
        <v>262</v>
      </c>
      <c r="T41" s="93">
        <v>230</v>
      </c>
      <c r="U41" s="93">
        <v>255</v>
      </c>
      <c r="V41" s="93">
        <v>256</v>
      </c>
    </row>
    <row r="42" spans="1:22" ht="17.100000000000001" customHeight="1">
      <c r="A42" s="45" t="s">
        <v>69</v>
      </c>
      <c r="B42" s="46">
        <v>737</v>
      </c>
      <c r="C42" s="15">
        <v>760</v>
      </c>
      <c r="D42" s="15">
        <v>701</v>
      </c>
      <c r="E42" s="15">
        <v>646</v>
      </c>
      <c r="F42" s="15">
        <v>732</v>
      </c>
      <c r="G42" s="15">
        <v>820</v>
      </c>
      <c r="H42" s="15">
        <v>773</v>
      </c>
      <c r="I42" s="15">
        <v>829</v>
      </c>
      <c r="J42" s="15">
        <v>830</v>
      </c>
      <c r="K42" s="15">
        <v>868</v>
      </c>
      <c r="L42" s="15">
        <v>850</v>
      </c>
      <c r="M42" s="15">
        <v>772</v>
      </c>
      <c r="N42" s="15">
        <v>824</v>
      </c>
      <c r="O42" s="15">
        <v>796</v>
      </c>
      <c r="P42" s="15">
        <v>812</v>
      </c>
      <c r="Q42" s="15">
        <v>805</v>
      </c>
      <c r="R42" s="15">
        <v>841</v>
      </c>
      <c r="S42" s="15">
        <v>832</v>
      </c>
      <c r="T42" s="15">
        <v>759</v>
      </c>
      <c r="U42" s="15">
        <v>739</v>
      </c>
      <c r="V42" s="15">
        <v>697</v>
      </c>
    </row>
    <row r="43" spans="1:22" ht="17.100000000000001" customHeight="1">
      <c r="A43" s="45" t="s">
        <v>70</v>
      </c>
      <c r="B43" s="46">
        <v>2859</v>
      </c>
      <c r="C43" s="15">
        <v>3013</v>
      </c>
      <c r="D43" s="15">
        <v>2982</v>
      </c>
      <c r="E43" s="15">
        <v>3011</v>
      </c>
      <c r="F43" s="15">
        <v>3011</v>
      </c>
      <c r="G43" s="15">
        <v>3028</v>
      </c>
      <c r="H43" s="15">
        <v>3025</v>
      </c>
      <c r="I43" s="15">
        <v>3218</v>
      </c>
      <c r="J43" s="15">
        <v>3216</v>
      </c>
      <c r="K43" s="15">
        <v>3194</v>
      </c>
      <c r="L43" s="15">
        <v>3053</v>
      </c>
      <c r="M43" s="15">
        <v>3216</v>
      </c>
      <c r="N43" s="15">
        <v>2951</v>
      </c>
      <c r="O43" s="15">
        <v>2942</v>
      </c>
      <c r="P43" s="15">
        <v>2974</v>
      </c>
      <c r="Q43" s="15">
        <v>2930</v>
      </c>
      <c r="R43" s="15">
        <v>2851</v>
      </c>
      <c r="S43" s="15">
        <v>2697</v>
      </c>
      <c r="T43" s="15">
        <v>2411</v>
      </c>
      <c r="U43" s="15">
        <v>2444</v>
      </c>
      <c r="V43" s="15">
        <v>2250</v>
      </c>
    </row>
    <row r="44" spans="1:22" ht="17.100000000000001" customHeight="1">
      <c r="A44" s="49" t="s">
        <v>63</v>
      </c>
      <c r="B44" s="50">
        <v>4020</v>
      </c>
      <c r="C44" s="50">
        <v>4198</v>
      </c>
      <c r="D44" s="50">
        <v>4070</v>
      </c>
      <c r="E44" s="50">
        <v>4002</v>
      </c>
      <c r="F44" s="50">
        <v>4087</v>
      </c>
      <c r="G44" s="50">
        <v>4162</v>
      </c>
      <c r="H44" s="50">
        <v>4103</v>
      </c>
      <c r="I44" s="50">
        <v>4378</v>
      </c>
      <c r="J44" s="50">
        <v>4357</v>
      </c>
      <c r="K44" s="50">
        <v>4360</v>
      </c>
      <c r="L44" s="50">
        <v>4179</v>
      </c>
      <c r="M44" s="50">
        <v>4265</v>
      </c>
      <c r="N44" s="50">
        <v>4053</v>
      </c>
      <c r="O44" s="50">
        <v>4058</v>
      </c>
      <c r="P44" s="50">
        <v>4095</v>
      </c>
      <c r="Q44" s="50">
        <v>3975</v>
      </c>
      <c r="R44" s="50">
        <v>3923</v>
      </c>
      <c r="S44" s="50">
        <v>3791</v>
      </c>
      <c r="T44" s="50">
        <v>3400</v>
      </c>
      <c r="U44" s="50">
        <v>3438</v>
      </c>
      <c r="V44" s="50">
        <v>3203</v>
      </c>
    </row>
    <row r="45" spans="1:22" ht="17.100000000000001" customHeight="1">
      <c r="A45" s="45" t="s">
        <v>60</v>
      </c>
      <c r="B45" s="46">
        <v>1</v>
      </c>
      <c r="C45" s="15">
        <v>1</v>
      </c>
      <c r="D45" s="15">
        <v>3</v>
      </c>
      <c r="E45" s="15">
        <v>0</v>
      </c>
      <c r="F45" s="15">
        <v>0</v>
      </c>
      <c r="G45" s="15">
        <v>0</v>
      </c>
      <c r="H45" s="15">
        <v>1</v>
      </c>
      <c r="I45" s="15">
        <v>2</v>
      </c>
      <c r="J45" s="15">
        <v>2</v>
      </c>
      <c r="K45" s="15">
        <v>1</v>
      </c>
      <c r="L45" s="12">
        <v>3</v>
      </c>
      <c r="M45" s="12">
        <v>2</v>
      </c>
      <c r="N45" s="12">
        <v>3</v>
      </c>
      <c r="O45" s="12">
        <v>2</v>
      </c>
      <c r="P45" s="12">
        <v>1</v>
      </c>
      <c r="Q45" s="12">
        <v>3</v>
      </c>
      <c r="R45" s="12">
        <v>0</v>
      </c>
      <c r="S45" s="12">
        <v>5</v>
      </c>
      <c r="T45" s="12">
        <v>3</v>
      </c>
      <c r="U45" s="12">
        <v>5</v>
      </c>
      <c r="V45" s="12">
        <v>1</v>
      </c>
    </row>
    <row r="46" spans="1:22" ht="17.100000000000001" customHeight="1">
      <c r="A46" s="45" t="s">
        <v>61</v>
      </c>
      <c r="B46" s="46">
        <v>5</v>
      </c>
      <c r="C46" s="15">
        <v>9</v>
      </c>
      <c r="D46" s="15">
        <v>11</v>
      </c>
      <c r="E46" s="15">
        <v>7</v>
      </c>
      <c r="F46" s="15">
        <v>8</v>
      </c>
      <c r="G46" s="15">
        <v>4</v>
      </c>
      <c r="H46" s="15">
        <v>4</v>
      </c>
      <c r="I46" s="15">
        <v>4</v>
      </c>
      <c r="J46" s="15">
        <v>5</v>
      </c>
      <c r="K46" s="15">
        <v>3</v>
      </c>
      <c r="L46" s="12">
        <v>2</v>
      </c>
      <c r="M46" s="12">
        <v>1</v>
      </c>
      <c r="N46" s="12">
        <v>3</v>
      </c>
      <c r="O46" s="12">
        <v>4</v>
      </c>
      <c r="P46" s="12">
        <v>3</v>
      </c>
      <c r="Q46" s="12">
        <v>3</v>
      </c>
      <c r="R46" s="12">
        <v>3</v>
      </c>
      <c r="S46" s="12">
        <v>0</v>
      </c>
      <c r="T46" s="12">
        <v>2</v>
      </c>
      <c r="U46" s="12">
        <v>0</v>
      </c>
      <c r="V46" s="12">
        <v>2</v>
      </c>
    </row>
    <row r="47" spans="1:22" ht="17.100000000000001" customHeight="1">
      <c r="A47" s="45" t="s">
        <v>64</v>
      </c>
      <c r="B47" s="46">
        <v>25</v>
      </c>
      <c r="C47" s="15">
        <v>16</v>
      </c>
      <c r="D47" s="15">
        <v>9</v>
      </c>
      <c r="E47" s="15">
        <v>6</v>
      </c>
      <c r="F47" s="15">
        <v>8</v>
      </c>
      <c r="G47" s="15">
        <v>12</v>
      </c>
      <c r="H47" s="15">
        <v>11</v>
      </c>
      <c r="I47" s="15">
        <v>5</v>
      </c>
      <c r="J47" s="15">
        <v>9</v>
      </c>
      <c r="K47" s="15">
        <v>6</v>
      </c>
      <c r="L47" s="12">
        <v>7</v>
      </c>
      <c r="M47" s="12">
        <v>3</v>
      </c>
      <c r="N47" s="12">
        <v>8</v>
      </c>
      <c r="O47" s="12">
        <v>8</v>
      </c>
      <c r="P47" s="12">
        <v>8</v>
      </c>
      <c r="Q47" s="12">
        <v>7</v>
      </c>
      <c r="R47" s="12">
        <v>5</v>
      </c>
      <c r="S47" s="12">
        <v>6</v>
      </c>
      <c r="T47" s="12">
        <v>8</v>
      </c>
      <c r="U47" s="12">
        <v>3</v>
      </c>
      <c r="V47" s="12">
        <v>17</v>
      </c>
    </row>
    <row r="48" spans="1:22" ht="17.100000000000001" customHeight="1">
      <c r="A48" s="49" t="s">
        <v>62</v>
      </c>
      <c r="B48" s="50">
        <v>31</v>
      </c>
      <c r="C48" s="50">
        <v>26</v>
      </c>
      <c r="D48" s="50">
        <v>23</v>
      </c>
      <c r="E48" s="50">
        <v>13</v>
      </c>
      <c r="F48" s="50">
        <v>16</v>
      </c>
      <c r="G48" s="50">
        <v>16</v>
      </c>
      <c r="H48" s="50">
        <v>16</v>
      </c>
      <c r="I48" s="50">
        <v>11</v>
      </c>
      <c r="J48" s="50">
        <v>16</v>
      </c>
      <c r="K48" s="50">
        <v>10</v>
      </c>
      <c r="L48" s="50">
        <v>12</v>
      </c>
      <c r="M48" s="50">
        <v>6</v>
      </c>
      <c r="N48" s="50">
        <v>14</v>
      </c>
      <c r="O48" s="50">
        <v>14</v>
      </c>
      <c r="P48" s="50">
        <v>12</v>
      </c>
      <c r="Q48" s="50">
        <v>13</v>
      </c>
      <c r="R48" s="50">
        <v>8</v>
      </c>
      <c r="S48" s="50">
        <v>11</v>
      </c>
      <c r="T48" s="50">
        <v>13</v>
      </c>
      <c r="U48" s="50">
        <v>8</v>
      </c>
      <c r="V48" s="50">
        <v>20</v>
      </c>
    </row>
    <row r="49" spans="1:22" ht="17.100000000000001" customHeight="1">
      <c r="A49" s="51" t="s">
        <v>102</v>
      </c>
      <c r="B49" s="52">
        <v>0</v>
      </c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4</v>
      </c>
      <c r="P49" s="52">
        <v>3</v>
      </c>
      <c r="Q49" s="52">
        <v>3</v>
      </c>
      <c r="R49" s="52">
        <v>0</v>
      </c>
      <c r="S49" s="52">
        <v>3</v>
      </c>
      <c r="T49" s="52">
        <v>275</v>
      </c>
      <c r="U49" s="52">
        <v>106</v>
      </c>
      <c r="V49" s="52">
        <v>14</v>
      </c>
    </row>
    <row r="50" spans="1:22" s="5" customFormat="1" ht="17.100000000000001" customHeight="1">
      <c r="A50" s="53" t="s">
        <v>35</v>
      </c>
      <c r="B50" s="54">
        <v>4051</v>
      </c>
      <c r="C50" s="54">
        <v>4224</v>
      </c>
      <c r="D50" s="54">
        <v>4093</v>
      </c>
      <c r="E50" s="54">
        <v>4015</v>
      </c>
      <c r="F50" s="54">
        <v>4103</v>
      </c>
      <c r="G50" s="54">
        <v>4178</v>
      </c>
      <c r="H50" s="54">
        <v>4119</v>
      </c>
      <c r="I50" s="54">
        <v>4389</v>
      </c>
      <c r="J50" s="54">
        <v>4373</v>
      </c>
      <c r="K50" s="54">
        <v>4370</v>
      </c>
      <c r="L50" s="54">
        <v>4191</v>
      </c>
      <c r="M50" s="54">
        <v>4271</v>
      </c>
      <c r="N50" s="54">
        <v>4067</v>
      </c>
      <c r="O50" s="54">
        <v>4076</v>
      </c>
      <c r="P50" s="54">
        <v>4110</v>
      </c>
      <c r="Q50" s="54">
        <v>3991</v>
      </c>
      <c r="R50" s="54">
        <v>3931</v>
      </c>
      <c r="S50" s="54">
        <v>3805</v>
      </c>
      <c r="T50" s="54">
        <v>3688</v>
      </c>
      <c r="U50" s="54">
        <v>3552</v>
      </c>
      <c r="V50" s="54">
        <v>3237</v>
      </c>
    </row>
    <row r="51" spans="1:22" ht="17.100000000000001" customHeight="1">
      <c r="C51" s="2"/>
      <c r="D51" s="2"/>
      <c r="E51" s="2"/>
      <c r="F51" s="2"/>
      <c r="G51" s="2"/>
      <c r="H51" s="2"/>
      <c r="I51" s="2"/>
      <c r="J51" s="2"/>
      <c r="P51" s="2"/>
      <c r="Q51" s="2"/>
      <c r="R51" s="2"/>
      <c r="S51" s="2"/>
      <c r="T51" s="2"/>
      <c r="U51" s="2"/>
      <c r="V51" s="2"/>
    </row>
    <row r="52" spans="1:22" ht="17.100000000000001" customHeight="1">
      <c r="A52" s="11" t="s">
        <v>56</v>
      </c>
      <c r="C52" s="2"/>
      <c r="D52" s="2"/>
      <c r="E52" s="2"/>
      <c r="F52" s="2"/>
      <c r="G52" s="2"/>
      <c r="H52" s="2"/>
    </row>
    <row r="53" spans="1:22" ht="17.100000000000001" customHeight="1">
      <c r="A53" s="1" t="s">
        <v>100</v>
      </c>
      <c r="C53" s="2"/>
      <c r="D53" s="2"/>
      <c r="E53" s="2"/>
      <c r="F53" s="2"/>
      <c r="G53" s="2"/>
      <c r="H53" s="2"/>
      <c r="T53" s="2"/>
      <c r="U53" s="2"/>
      <c r="V53" s="2"/>
    </row>
    <row r="54" spans="1:22" ht="17.100000000000001" customHeight="1">
      <c r="A54" s="1" t="s">
        <v>101</v>
      </c>
    </row>
  </sheetData>
  <pageMargins left="0.31496062992125984" right="0.31496062992125984" top="0.35433070866141736" bottom="0.35433070866141736" header="0.31496062992125984" footer="0.31496062992125984"/>
  <pageSetup paperSize="9" scale="6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euil5">
    <pageSetUpPr fitToPage="1"/>
  </sheetPr>
  <dimension ref="A1:AH22"/>
  <sheetViews>
    <sheetView workbookViewId="0">
      <pane xSplit="1" ySplit="8" topLeftCell="Q9" activePane="bottomRight" state="frozen"/>
      <selection pane="topRight" activeCell="B1" sqref="B1"/>
      <selection pane="bottomLeft" activeCell="A9" sqref="A9"/>
      <selection pane="bottomRight"/>
    </sheetView>
  </sheetViews>
  <sheetFormatPr baseColWidth="10" defaultRowHeight="15"/>
  <cols>
    <col min="1" max="1" width="16.28515625" style="25" customWidth="1"/>
    <col min="2" max="34" width="13.5703125" style="25" customWidth="1"/>
    <col min="35" max="16384" width="11.42578125" style="25"/>
  </cols>
  <sheetData>
    <row r="1" spans="1:34" s="24" customFormat="1" ht="30" customHeight="1">
      <c r="A1" s="8"/>
    </row>
    <row r="2" spans="1:34" ht="31.5">
      <c r="A2" s="10" t="s">
        <v>67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34" s="12" customFormat="1"/>
    <row r="4" spans="1:34" s="12" customFormat="1">
      <c r="A4" s="11" t="s">
        <v>55</v>
      </c>
      <c r="R4" s="26"/>
      <c r="S4" s="26"/>
      <c r="T4" s="26"/>
      <c r="U4" s="26"/>
      <c r="V4" s="26"/>
      <c r="W4" s="26"/>
      <c r="X4" s="26"/>
    </row>
    <row r="5" spans="1:34" s="12" customFormat="1">
      <c r="A5" s="81" t="s">
        <v>111</v>
      </c>
    </row>
    <row r="6" spans="1:34" s="13" customFormat="1" ht="15.75">
      <c r="A6" s="27"/>
    </row>
    <row r="7" spans="1:34" ht="17.25">
      <c r="A7" s="96" t="s">
        <v>46</v>
      </c>
      <c r="B7" s="95">
        <v>2015</v>
      </c>
      <c r="C7" s="96"/>
      <c r="D7" s="97"/>
      <c r="E7" s="96">
        <v>2016</v>
      </c>
      <c r="F7" s="96"/>
      <c r="G7" s="96"/>
      <c r="H7" s="95">
        <v>2017</v>
      </c>
      <c r="I7" s="96"/>
      <c r="J7" s="97"/>
      <c r="K7" s="96">
        <v>2018</v>
      </c>
      <c r="L7" s="96"/>
      <c r="M7" s="96"/>
      <c r="N7" s="95">
        <v>2019</v>
      </c>
      <c r="O7" s="96"/>
      <c r="P7" s="97"/>
      <c r="Q7" s="95">
        <v>2020</v>
      </c>
      <c r="R7" s="96"/>
      <c r="S7" s="97"/>
      <c r="T7" s="95">
        <v>2021</v>
      </c>
      <c r="U7" s="96"/>
      <c r="V7" s="97"/>
      <c r="W7" s="95">
        <v>2022</v>
      </c>
      <c r="X7" s="96"/>
      <c r="Y7" s="97"/>
      <c r="Z7" s="95">
        <v>2023</v>
      </c>
      <c r="AA7" s="96"/>
      <c r="AB7" s="97"/>
      <c r="AC7" s="95">
        <v>2024</v>
      </c>
      <c r="AD7" s="96"/>
      <c r="AE7" s="97"/>
      <c r="AF7" s="95" t="s">
        <v>109</v>
      </c>
      <c r="AG7" s="96"/>
      <c r="AH7" s="97"/>
    </row>
    <row r="8" spans="1:34" ht="31.5">
      <c r="A8" s="96"/>
      <c r="B8" s="33" t="s">
        <v>49</v>
      </c>
      <c r="C8" s="34" t="s">
        <v>50</v>
      </c>
      <c r="D8" s="35" t="s">
        <v>71</v>
      </c>
      <c r="E8" s="34" t="s">
        <v>49</v>
      </c>
      <c r="F8" s="34" t="s">
        <v>50</v>
      </c>
      <c r="G8" s="35" t="s">
        <v>71</v>
      </c>
      <c r="H8" s="33" t="s">
        <v>49</v>
      </c>
      <c r="I8" s="34" t="s">
        <v>50</v>
      </c>
      <c r="J8" s="35" t="s">
        <v>71</v>
      </c>
      <c r="K8" s="34" t="s">
        <v>49</v>
      </c>
      <c r="L8" s="34" t="s">
        <v>50</v>
      </c>
      <c r="M8" s="35" t="s">
        <v>71</v>
      </c>
      <c r="N8" s="33" t="s">
        <v>49</v>
      </c>
      <c r="O8" s="34" t="s">
        <v>50</v>
      </c>
      <c r="P8" s="35" t="s">
        <v>71</v>
      </c>
      <c r="Q8" s="33" t="s">
        <v>49</v>
      </c>
      <c r="R8" s="34" t="s">
        <v>50</v>
      </c>
      <c r="S8" s="35" t="s">
        <v>71</v>
      </c>
      <c r="T8" s="33" t="s">
        <v>49</v>
      </c>
      <c r="U8" s="34" t="s">
        <v>50</v>
      </c>
      <c r="V8" s="35" t="s">
        <v>71</v>
      </c>
      <c r="W8" s="33" t="s">
        <v>49</v>
      </c>
      <c r="X8" s="34" t="s">
        <v>50</v>
      </c>
      <c r="Y8" s="35" t="s">
        <v>71</v>
      </c>
      <c r="Z8" s="33" t="s">
        <v>49</v>
      </c>
      <c r="AA8" s="34" t="s">
        <v>50</v>
      </c>
      <c r="AB8" s="35" t="s">
        <v>71</v>
      </c>
      <c r="AC8" s="33" t="s">
        <v>49</v>
      </c>
      <c r="AD8" s="34" t="s">
        <v>50</v>
      </c>
      <c r="AE8" s="35" t="s">
        <v>71</v>
      </c>
      <c r="AF8" s="33" t="s">
        <v>49</v>
      </c>
      <c r="AG8" s="34" t="s">
        <v>50</v>
      </c>
      <c r="AH8" s="35" t="s">
        <v>71</v>
      </c>
    </row>
    <row r="9" spans="1:34">
      <c r="A9" s="36" t="s">
        <v>38</v>
      </c>
      <c r="B9" s="37">
        <v>97</v>
      </c>
      <c r="C9" s="38">
        <v>100</v>
      </c>
      <c r="D9" s="39">
        <f>B9+C9</f>
        <v>197</v>
      </c>
      <c r="E9" s="38">
        <v>85</v>
      </c>
      <c r="F9" s="38">
        <v>100</v>
      </c>
      <c r="G9" s="39">
        <f>E9+F9</f>
        <v>185</v>
      </c>
      <c r="H9" s="37">
        <v>71</v>
      </c>
      <c r="I9" s="38">
        <v>99</v>
      </c>
      <c r="J9" s="39">
        <f>H9+I9</f>
        <v>170</v>
      </c>
      <c r="K9" s="38">
        <v>92</v>
      </c>
      <c r="L9" s="38">
        <v>79</v>
      </c>
      <c r="M9" s="39">
        <f>K9+L9</f>
        <v>171</v>
      </c>
      <c r="N9" s="37">
        <v>72</v>
      </c>
      <c r="O9" s="38">
        <v>66</v>
      </c>
      <c r="P9" s="39">
        <f>N9+O9</f>
        <v>138</v>
      </c>
      <c r="Q9" s="38">
        <v>64</v>
      </c>
      <c r="R9" s="38">
        <v>66</v>
      </c>
      <c r="S9" s="39">
        <f>Q9+R9</f>
        <v>130</v>
      </c>
      <c r="T9" s="37">
        <v>65</v>
      </c>
      <c r="U9" s="38">
        <v>47</v>
      </c>
      <c r="V9" s="39">
        <f>T9+U9</f>
        <v>112</v>
      </c>
      <c r="W9" s="37">
        <v>49</v>
      </c>
      <c r="X9" s="38">
        <v>52</v>
      </c>
      <c r="Y9" s="39">
        <f>W9+X9</f>
        <v>101</v>
      </c>
      <c r="Z9" s="37">
        <v>70</v>
      </c>
      <c r="AA9" s="38">
        <v>61</v>
      </c>
      <c r="AB9" s="39">
        <f>Z9+AA9</f>
        <v>131</v>
      </c>
      <c r="AC9" s="37">
        <v>66</v>
      </c>
      <c r="AD9" s="38">
        <v>68</v>
      </c>
      <c r="AE9" s="39">
        <f>AC9+AD9</f>
        <v>134</v>
      </c>
      <c r="AF9" s="37">
        <v>58</v>
      </c>
      <c r="AG9" s="38">
        <v>58</v>
      </c>
      <c r="AH9" s="39">
        <f>AF9+AG9</f>
        <v>116</v>
      </c>
    </row>
    <row r="10" spans="1:34">
      <c r="A10" s="36" t="s">
        <v>39</v>
      </c>
      <c r="B10" s="37">
        <v>451</v>
      </c>
      <c r="C10" s="38">
        <v>437</v>
      </c>
      <c r="D10" s="39">
        <f t="shared" ref="D10:D15" si="0">B10+C10</f>
        <v>888</v>
      </c>
      <c r="E10" s="38">
        <v>430</v>
      </c>
      <c r="F10" s="38">
        <v>377</v>
      </c>
      <c r="G10" s="39">
        <f t="shared" ref="G10:G15" si="1">E10+F10</f>
        <v>807</v>
      </c>
      <c r="H10" s="37">
        <v>407</v>
      </c>
      <c r="I10" s="38">
        <v>386</v>
      </c>
      <c r="J10" s="39">
        <f t="shared" ref="J10:J15" si="2">H10+I10</f>
        <v>793</v>
      </c>
      <c r="K10" s="38">
        <v>384</v>
      </c>
      <c r="L10" s="38">
        <v>371</v>
      </c>
      <c r="M10" s="39">
        <f t="shared" ref="M10:M15" si="3">K10+L10</f>
        <v>755</v>
      </c>
      <c r="N10" s="37">
        <v>431</v>
      </c>
      <c r="O10" s="38">
        <v>351</v>
      </c>
      <c r="P10" s="39">
        <f t="shared" ref="P10:P15" si="4">N10+O10</f>
        <v>782</v>
      </c>
      <c r="Q10" s="38">
        <v>358</v>
      </c>
      <c r="R10" s="38">
        <v>342</v>
      </c>
      <c r="S10" s="39">
        <f t="shared" ref="S10:S15" si="5">Q10+R10</f>
        <v>700</v>
      </c>
      <c r="T10" s="37">
        <v>351</v>
      </c>
      <c r="U10" s="38">
        <v>312</v>
      </c>
      <c r="V10" s="39">
        <f t="shared" ref="V10:V15" si="6">T10+U10</f>
        <v>663</v>
      </c>
      <c r="W10" s="37">
        <v>322</v>
      </c>
      <c r="X10" s="38">
        <v>302</v>
      </c>
      <c r="Y10" s="39">
        <f t="shared" ref="Y10:Y15" si="7">W10+X10</f>
        <v>624</v>
      </c>
      <c r="Z10" s="37">
        <v>351</v>
      </c>
      <c r="AA10" s="38">
        <v>322</v>
      </c>
      <c r="AB10" s="39">
        <f t="shared" ref="AB10:AB16" si="8">Z10+AA10</f>
        <v>673</v>
      </c>
      <c r="AC10" s="37">
        <v>308</v>
      </c>
      <c r="AD10" s="38">
        <v>328</v>
      </c>
      <c r="AE10" s="39">
        <f t="shared" ref="AE10:AE17" si="9">AC10+AD10</f>
        <v>636</v>
      </c>
      <c r="AF10" s="37">
        <v>288</v>
      </c>
      <c r="AG10" s="38">
        <v>258</v>
      </c>
      <c r="AH10" s="39">
        <f t="shared" ref="AH10:AH17" si="10">AF10+AG10</f>
        <v>546</v>
      </c>
    </row>
    <row r="11" spans="1:34">
      <c r="A11" s="36" t="s">
        <v>40</v>
      </c>
      <c r="B11" s="37">
        <v>561</v>
      </c>
      <c r="C11" s="38">
        <v>587</v>
      </c>
      <c r="D11" s="39">
        <f t="shared" si="0"/>
        <v>1148</v>
      </c>
      <c r="E11" s="38">
        <v>608</v>
      </c>
      <c r="F11" s="38">
        <v>588</v>
      </c>
      <c r="G11" s="39">
        <f t="shared" si="1"/>
        <v>1196</v>
      </c>
      <c r="H11" s="37">
        <v>599</v>
      </c>
      <c r="I11" s="38">
        <v>514</v>
      </c>
      <c r="J11" s="39">
        <f t="shared" si="2"/>
        <v>1113</v>
      </c>
      <c r="K11" s="38">
        <v>553</v>
      </c>
      <c r="L11" s="38">
        <v>529</v>
      </c>
      <c r="M11" s="39">
        <f t="shared" si="3"/>
        <v>1082</v>
      </c>
      <c r="N11" s="37">
        <v>559</v>
      </c>
      <c r="O11" s="38">
        <v>571</v>
      </c>
      <c r="P11" s="39">
        <f t="shared" si="4"/>
        <v>1130</v>
      </c>
      <c r="Q11" s="38">
        <v>499</v>
      </c>
      <c r="R11" s="38">
        <v>493</v>
      </c>
      <c r="S11" s="39">
        <f t="shared" si="5"/>
        <v>992</v>
      </c>
      <c r="T11" s="37">
        <v>528</v>
      </c>
      <c r="U11" s="38">
        <v>468</v>
      </c>
      <c r="V11" s="39">
        <f t="shared" si="6"/>
        <v>996</v>
      </c>
      <c r="W11" s="37">
        <v>505</v>
      </c>
      <c r="X11" s="38">
        <v>452</v>
      </c>
      <c r="Y11" s="39">
        <f t="shared" si="7"/>
        <v>957</v>
      </c>
      <c r="Z11" s="37">
        <v>508</v>
      </c>
      <c r="AA11" s="38">
        <v>446</v>
      </c>
      <c r="AB11" s="39">
        <f t="shared" si="8"/>
        <v>954</v>
      </c>
      <c r="AC11" s="37">
        <v>480</v>
      </c>
      <c r="AD11" s="38">
        <v>422</v>
      </c>
      <c r="AE11" s="39">
        <f t="shared" si="9"/>
        <v>902</v>
      </c>
      <c r="AF11" s="37">
        <v>447</v>
      </c>
      <c r="AG11" s="38">
        <v>379</v>
      </c>
      <c r="AH11" s="39">
        <f t="shared" si="10"/>
        <v>826</v>
      </c>
    </row>
    <row r="12" spans="1:34">
      <c r="A12" s="36" t="s">
        <v>41</v>
      </c>
      <c r="B12" s="37">
        <v>530</v>
      </c>
      <c r="C12" s="38">
        <v>516</v>
      </c>
      <c r="D12" s="39">
        <f t="shared" si="0"/>
        <v>1046</v>
      </c>
      <c r="E12" s="38">
        <v>585</v>
      </c>
      <c r="F12" s="38">
        <v>564</v>
      </c>
      <c r="G12" s="39">
        <f t="shared" si="1"/>
        <v>1149</v>
      </c>
      <c r="H12" s="37">
        <v>579</v>
      </c>
      <c r="I12" s="38">
        <v>503</v>
      </c>
      <c r="J12" s="39">
        <f t="shared" si="2"/>
        <v>1082</v>
      </c>
      <c r="K12" s="38">
        <v>628</v>
      </c>
      <c r="L12" s="38">
        <v>519</v>
      </c>
      <c r="M12" s="39">
        <f t="shared" si="3"/>
        <v>1147</v>
      </c>
      <c r="N12" s="37">
        <v>562</v>
      </c>
      <c r="O12" s="38">
        <v>584</v>
      </c>
      <c r="P12" s="39">
        <f t="shared" si="4"/>
        <v>1146</v>
      </c>
      <c r="Q12" s="38">
        <v>583</v>
      </c>
      <c r="R12" s="38">
        <v>585</v>
      </c>
      <c r="S12" s="39">
        <f t="shared" si="5"/>
        <v>1168</v>
      </c>
      <c r="T12" s="37">
        <v>602</v>
      </c>
      <c r="U12" s="38">
        <v>562</v>
      </c>
      <c r="V12" s="39">
        <f t="shared" si="6"/>
        <v>1164</v>
      </c>
      <c r="W12" s="37">
        <v>620</v>
      </c>
      <c r="X12" s="38">
        <v>485</v>
      </c>
      <c r="Y12" s="39">
        <f t="shared" si="7"/>
        <v>1105</v>
      </c>
      <c r="Z12" s="37">
        <v>518</v>
      </c>
      <c r="AA12" s="38">
        <v>500</v>
      </c>
      <c r="AB12" s="39">
        <f t="shared" si="8"/>
        <v>1018</v>
      </c>
      <c r="AC12" s="37">
        <v>491</v>
      </c>
      <c r="AD12" s="38">
        <v>450</v>
      </c>
      <c r="AE12" s="39">
        <f t="shared" si="9"/>
        <v>941</v>
      </c>
      <c r="AF12" s="37">
        <v>444</v>
      </c>
      <c r="AG12" s="38">
        <v>468</v>
      </c>
      <c r="AH12" s="39">
        <f t="shared" si="10"/>
        <v>912</v>
      </c>
    </row>
    <row r="13" spans="1:34">
      <c r="A13" s="36" t="s">
        <v>42</v>
      </c>
      <c r="B13" s="37">
        <v>320</v>
      </c>
      <c r="C13" s="38">
        <v>351</v>
      </c>
      <c r="D13" s="39">
        <f t="shared" si="0"/>
        <v>671</v>
      </c>
      <c r="E13" s="38">
        <v>379</v>
      </c>
      <c r="F13" s="38">
        <v>333</v>
      </c>
      <c r="G13" s="39">
        <f t="shared" si="1"/>
        <v>712</v>
      </c>
      <c r="H13" s="37">
        <v>341</v>
      </c>
      <c r="I13" s="38">
        <v>343</v>
      </c>
      <c r="J13" s="39">
        <f t="shared" si="2"/>
        <v>684</v>
      </c>
      <c r="K13" s="38">
        <v>352</v>
      </c>
      <c r="L13" s="38">
        <v>347</v>
      </c>
      <c r="M13" s="39">
        <f t="shared" si="3"/>
        <v>699</v>
      </c>
      <c r="N13" s="37">
        <v>378</v>
      </c>
      <c r="O13" s="38">
        <v>303</v>
      </c>
      <c r="P13" s="39">
        <f t="shared" si="4"/>
        <v>681</v>
      </c>
      <c r="Q13" s="38">
        <v>404</v>
      </c>
      <c r="R13" s="38">
        <v>351</v>
      </c>
      <c r="S13" s="39">
        <f t="shared" si="5"/>
        <v>755</v>
      </c>
      <c r="T13" s="37">
        <v>414</v>
      </c>
      <c r="U13" s="38">
        <v>344</v>
      </c>
      <c r="V13" s="39">
        <f t="shared" si="6"/>
        <v>758</v>
      </c>
      <c r="W13" s="37">
        <v>386</v>
      </c>
      <c r="X13" s="38">
        <v>348</v>
      </c>
      <c r="Y13" s="39">
        <f t="shared" si="7"/>
        <v>734</v>
      </c>
      <c r="Z13" s="37">
        <v>382</v>
      </c>
      <c r="AA13" s="38">
        <v>315</v>
      </c>
      <c r="AB13" s="39">
        <f t="shared" si="8"/>
        <v>697</v>
      </c>
      <c r="AC13" s="37">
        <v>375</v>
      </c>
      <c r="AD13" s="38">
        <v>344</v>
      </c>
      <c r="AE13" s="39">
        <f t="shared" si="9"/>
        <v>719</v>
      </c>
      <c r="AF13" s="37">
        <v>315</v>
      </c>
      <c r="AG13" s="38">
        <v>311</v>
      </c>
      <c r="AH13" s="39">
        <f t="shared" si="10"/>
        <v>626</v>
      </c>
    </row>
    <row r="14" spans="1:34">
      <c r="A14" s="36" t="s">
        <v>43</v>
      </c>
      <c r="B14" s="37">
        <v>122</v>
      </c>
      <c r="C14" s="38">
        <v>111</v>
      </c>
      <c r="D14" s="39">
        <f t="shared" si="0"/>
        <v>233</v>
      </c>
      <c r="E14" s="38">
        <v>101</v>
      </c>
      <c r="F14" s="38">
        <v>103</v>
      </c>
      <c r="G14" s="39">
        <f t="shared" si="1"/>
        <v>204</v>
      </c>
      <c r="H14" s="37">
        <v>102</v>
      </c>
      <c r="I14" s="38">
        <v>104</v>
      </c>
      <c r="J14" s="39">
        <f t="shared" si="2"/>
        <v>206</v>
      </c>
      <c r="K14" s="38">
        <v>110</v>
      </c>
      <c r="L14" s="38">
        <v>102</v>
      </c>
      <c r="M14" s="39">
        <f t="shared" si="3"/>
        <v>212</v>
      </c>
      <c r="N14" s="37">
        <v>122</v>
      </c>
      <c r="O14" s="38">
        <v>99</v>
      </c>
      <c r="P14" s="39">
        <f t="shared" si="4"/>
        <v>221</v>
      </c>
      <c r="Q14" s="38">
        <v>122</v>
      </c>
      <c r="R14" s="38">
        <v>106</v>
      </c>
      <c r="S14" s="39">
        <f t="shared" si="5"/>
        <v>228</v>
      </c>
      <c r="T14" s="37">
        <v>114</v>
      </c>
      <c r="U14" s="38">
        <v>112</v>
      </c>
      <c r="V14" s="39">
        <f t="shared" si="6"/>
        <v>226</v>
      </c>
      <c r="W14" s="37">
        <v>131</v>
      </c>
      <c r="X14" s="38">
        <v>140</v>
      </c>
      <c r="Y14" s="39">
        <f t="shared" si="7"/>
        <v>271</v>
      </c>
      <c r="Z14" s="37">
        <v>101</v>
      </c>
      <c r="AA14" s="38">
        <v>98</v>
      </c>
      <c r="AB14" s="39">
        <f t="shared" si="8"/>
        <v>199</v>
      </c>
      <c r="AC14" s="37">
        <v>108</v>
      </c>
      <c r="AD14" s="38">
        <v>98</v>
      </c>
      <c r="AE14" s="39">
        <f t="shared" si="9"/>
        <v>206</v>
      </c>
      <c r="AF14" s="37">
        <v>99</v>
      </c>
      <c r="AG14" s="38">
        <v>103</v>
      </c>
      <c r="AH14" s="39">
        <f t="shared" si="10"/>
        <v>202</v>
      </c>
    </row>
    <row r="15" spans="1:34">
      <c r="A15" s="36" t="s">
        <v>44</v>
      </c>
      <c r="B15" s="37">
        <v>5</v>
      </c>
      <c r="C15" s="38">
        <v>3</v>
      </c>
      <c r="D15" s="39">
        <f t="shared" si="0"/>
        <v>8</v>
      </c>
      <c r="E15" s="38">
        <v>7</v>
      </c>
      <c r="F15" s="38">
        <v>11</v>
      </c>
      <c r="G15" s="39">
        <f t="shared" si="1"/>
        <v>18</v>
      </c>
      <c r="H15" s="37">
        <v>8</v>
      </c>
      <c r="I15" s="38">
        <v>11</v>
      </c>
      <c r="J15" s="39">
        <f t="shared" si="2"/>
        <v>19</v>
      </c>
      <c r="K15" s="38">
        <v>3</v>
      </c>
      <c r="L15" s="38">
        <v>7</v>
      </c>
      <c r="M15" s="39">
        <f t="shared" si="3"/>
        <v>10</v>
      </c>
      <c r="N15" s="37">
        <v>9</v>
      </c>
      <c r="O15" s="38">
        <v>3</v>
      </c>
      <c r="P15" s="39">
        <f t="shared" si="4"/>
        <v>12</v>
      </c>
      <c r="Q15" s="38">
        <v>8</v>
      </c>
      <c r="R15" s="38">
        <v>10</v>
      </c>
      <c r="S15" s="39">
        <f t="shared" si="5"/>
        <v>18</v>
      </c>
      <c r="T15" s="37">
        <v>5</v>
      </c>
      <c r="U15" s="38">
        <v>7</v>
      </c>
      <c r="V15" s="39">
        <f t="shared" si="6"/>
        <v>12</v>
      </c>
      <c r="W15" s="37">
        <v>7</v>
      </c>
      <c r="X15" s="38">
        <v>6</v>
      </c>
      <c r="Y15" s="39">
        <f t="shared" si="7"/>
        <v>13</v>
      </c>
      <c r="Z15" s="37">
        <v>2</v>
      </c>
      <c r="AA15" s="38">
        <v>3</v>
      </c>
      <c r="AB15" s="39">
        <f t="shared" si="8"/>
        <v>5</v>
      </c>
      <c r="AC15" s="37">
        <v>5</v>
      </c>
      <c r="AD15" s="38">
        <v>1</v>
      </c>
      <c r="AE15" s="39">
        <f t="shared" si="9"/>
        <v>6</v>
      </c>
      <c r="AF15" s="37">
        <v>4</v>
      </c>
      <c r="AG15" s="38">
        <v>3</v>
      </c>
      <c r="AH15" s="39">
        <f t="shared" si="10"/>
        <v>7</v>
      </c>
    </row>
    <row r="16" spans="1:34">
      <c r="A16" s="91" t="s">
        <v>110</v>
      </c>
      <c r="B16" s="37"/>
      <c r="C16" s="38"/>
      <c r="D16" s="38"/>
      <c r="E16" s="38"/>
      <c r="F16" s="38"/>
      <c r="G16" s="38"/>
      <c r="H16" s="37"/>
      <c r="I16" s="38"/>
      <c r="J16" s="38"/>
      <c r="K16" s="38"/>
      <c r="L16" s="38"/>
      <c r="M16" s="38"/>
      <c r="N16" s="37"/>
      <c r="O16" s="38"/>
      <c r="P16" s="38"/>
      <c r="Q16" s="38"/>
      <c r="R16" s="38"/>
      <c r="S16" s="38"/>
      <c r="T16" s="37"/>
      <c r="U16" s="38"/>
      <c r="V16" s="38"/>
      <c r="W16" s="37"/>
      <c r="X16" s="38"/>
      <c r="Y16" s="38"/>
      <c r="Z16" s="37">
        <v>1</v>
      </c>
      <c r="AA16" s="38">
        <v>1</v>
      </c>
      <c r="AB16" s="39">
        <f t="shared" si="8"/>
        <v>2</v>
      </c>
      <c r="AC16" s="37">
        <v>0</v>
      </c>
      <c r="AD16" s="38">
        <v>0</v>
      </c>
      <c r="AE16" s="39"/>
      <c r="AF16" s="37">
        <v>0</v>
      </c>
      <c r="AG16" s="38">
        <v>0</v>
      </c>
      <c r="AH16" s="39">
        <f t="shared" si="10"/>
        <v>0</v>
      </c>
    </row>
    <row r="17" spans="1:34">
      <c r="A17" s="72" t="s">
        <v>103</v>
      </c>
      <c r="B17" s="37"/>
      <c r="C17" s="38"/>
      <c r="D17" s="38"/>
      <c r="E17" s="38"/>
      <c r="F17" s="38"/>
      <c r="G17" s="38"/>
      <c r="H17" s="37"/>
      <c r="I17" s="38"/>
      <c r="J17" s="38"/>
      <c r="K17" s="38"/>
      <c r="L17" s="38"/>
      <c r="M17" s="38"/>
      <c r="N17" s="37"/>
      <c r="O17" s="38"/>
      <c r="P17" s="38"/>
      <c r="Q17" s="38"/>
      <c r="R17" s="38"/>
      <c r="S17" s="38"/>
      <c r="T17" s="37"/>
      <c r="U17" s="38"/>
      <c r="V17" s="38"/>
      <c r="W17" s="37"/>
      <c r="X17" s="38"/>
      <c r="Y17" s="38"/>
      <c r="Z17" s="37">
        <v>5</v>
      </c>
      <c r="AA17" s="38">
        <v>4</v>
      </c>
      <c r="AB17" s="39">
        <f>Z17+AA17</f>
        <v>9</v>
      </c>
      <c r="AC17" s="37">
        <v>6</v>
      </c>
      <c r="AD17" s="38">
        <v>2</v>
      </c>
      <c r="AE17" s="39">
        <f t="shared" si="9"/>
        <v>8</v>
      </c>
      <c r="AF17" s="37">
        <v>0</v>
      </c>
      <c r="AG17" s="38">
        <v>2</v>
      </c>
      <c r="AH17" s="39">
        <f t="shared" si="10"/>
        <v>2</v>
      </c>
    </row>
    <row r="18" spans="1:34" s="42" customFormat="1">
      <c r="A18" s="40" t="s">
        <v>36</v>
      </c>
      <c r="B18" s="41">
        <v>2086</v>
      </c>
      <c r="C18" s="41">
        <v>2105</v>
      </c>
      <c r="D18" s="41">
        <v>4191</v>
      </c>
      <c r="E18" s="41">
        <v>2195</v>
      </c>
      <c r="F18" s="41">
        <v>2076</v>
      </c>
      <c r="G18" s="41">
        <v>4271</v>
      </c>
      <c r="H18" s="41">
        <v>2107</v>
      </c>
      <c r="I18" s="41">
        <v>1960</v>
      </c>
      <c r="J18" s="41">
        <v>4067</v>
      </c>
      <c r="K18" s="41">
        <v>2122</v>
      </c>
      <c r="L18" s="41">
        <v>1954</v>
      </c>
      <c r="M18" s="41">
        <v>4076</v>
      </c>
      <c r="N18" s="41">
        <v>2133</v>
      </c>
      <c r="O18" s="41">
        <v>1977</v>
      </c>
      <c r="P18" s="41">
        <v>4110</v>
      </c>
      <c r="Q18" s="41">
        <v>2038</v>
      </c>
      <c r="R18" s="41">
        <v>1953</v>
      </c>
      <c r="S18" s="41">
        <v>3991</v>
      </c>
      <c r="T18" s="41">
        <v>2079</v>
      </c>
      <c r="U18" s="41">
        <v>1852</v>
      </c>
      <c r="V18" s="41">
        <v>3931</v>
      </c>
      <c r="W18" s="41">
        <v>2020</v>
      </c>
      <c r="X18" s="41">
        <v>1785</v>
      </c>
      <c r="Y18" s="41">
        <v>3805</v>
      </c>
      <c r="Z18" s="41">
        <v>1938</v>
      </c>
      <c r="AA18" s="41">
        <v>1750</v>
      </c>
      <c r="AB18" s="41">
        <v>3688</v>
      </c>
      <c r="AC18" s="41">
        <v>1839</v>
      </c>
      <c r="AD18" s="41">
        <v>1713</v>
      </c>
      <c r="AE18" s="41">
        <v>3552</v>
      </c>
      <c r="AF18" s="41">
        <v>1655</v>
      </c>
      <c r="AG18" s="41">
        <v>1582</v>
      </c>
      <c r="AH18" s="41">
        <v>3237</v>
      </c>
    </row>
    <row r="20" spans="1:34">
      <c r="A20" s="11" t="s">
        <v>56</v>
      </c>
    </row>
    <row r="21" spans="1:34">
      <c r="A21" s="1" t="s">
        <v>100</v>
      </c>
    </row>
    <row r="22" spans="1:34">
      <c r="A22" s="1" t="s">
        <v>101</v>
      </c>
    </row>
  </sheetData>
  <mergeCells count="12">
    <mergeCell ref="N7:P7"/>
    <mergeCell ref="A7:A8"/>
    <mergeCell ref="B7:D7"/>
    <mergeCell ref="E7:G7"/>
    <mergeCell ref="H7:J7"/>
    <mergeCell ref="K7:M7"/>
    <mergeCell ref="AF7:AH7"/>
    <mergeCell ref="Z7:AB7"/>
    <mergeCell ref="AC7:AE7"/>
    <mergeCell ref="W7:Y7"/>
    <mergeCell ref="Q7:S7"/>
    <mergeCell ref="T7:V7"/>
  </mergeCells>
  <pageMargins left="0.70866141732283472" right="0.70866141732283472" top="0.74803149606299213" bottom="0.74803149606299213" header="0.31496062992125984" footer="0.31496062992125984"/>
  <pageSetup paperSize="9" scale="6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euil6">
    <pageSetUpPr fitToPage="1"/>
  </sheetPr>
  <dimension ref="A1:Y34"/>
  <sheetViews>
    <sheetView workbookViewId="0"/>
  </sheetViews>
  <sheetFormatPr baseColWidth="10" defaultRowHeight="15"/>
  <cols>
    <col min="1" max="1" width="23.85546875" style="25" customWidth="1"/>
    <col min="2" max="6" width="6.42578125" style="12" bestFit="1" customWidth="1"/>
    <col min="7" max="19" width="9.85546875" style="25" customWidth="1"/>
    <col min="20" max="20" width="14.85546875" style="25" customWidth="1"/>
    <col min="21" max="22" width="19.42578125" style="25" customWidth="1"/>
    <col min="23" max="16384" width="11.42578125" style="25"/>
  </cols>
  <sheetData>
    <row r="1" spans="1:25" s="24" customFormat="1" ht="30" customHeight="1">
      <c r="A1" s="8"/>
    </row>
    <row r="2" spans="1:25" ht="31.5">
      <c r="A2" s="10" t="s">
        <v>65</v>
      </c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25" s="12" customFormat="1"/>
    <row r="4" spans="1:25" s="12" customFormat="1">
      <c r="A4" s="11" t="s">
        <v>55</v>
      </c>
      <c r="R4" s="26"/>
      <c r="S4" s="26"/>
      <c r="T4" s="26"/>
      <c r="U4" s="26"/>
      <c r="V4" s="26"/>
      <c r="W4" s="26"/>
      <c r="X4" s="26"/>
      <c r="Y4" s="26"/>
    </row>
    <row r="5" spans="1:25" s="12" customFormat="1">
      <c r="A5" s="81" t="s">
        <v>111</v>
      </c>
    </row>
    <row r="6" spans="1:25" s="13" customFormat="1" ht="15.75">
      <c r="A6" s="27"/>
    </row>
    <row r="7" spans="1:25" ht="17.25">
      <c r="A7" s="22" t="s">
        <v>46</v>
      </c>
      <c r="B7" s="22">
        <v>2005</v>
      </c>
      <c r="C7" s="22">
        <v>2006</v>
      </c>
      <c r="D7" s="22">
        <v>2007</v>
      </c>
      <c r="E7" s="22">
        <v>2008</v>
      </c>
      <c r="F7" s="22">
        <v>2009</v>
      </c>
      <c r="G7" s="22">
        <v>2010</v>
      </c>
      <c r="H7" s="22">
        <v>2011</v>
      </c>
      <c r="I7" s="22">
        <v>2012</v>
      </c>
      <c r="J7" s="22">
        <v>2013</v>
      </c>
      <c r="K7" s="22">
        <v>2014</v>
      </c>
      <c r="L7" s="22">
        <v>2015</v>
      </c>
      <c r="M7" s="22">
        <v>2016</v>
      </c>
      <c r="N7" s="22">
        <v>2017</v>
      </c>
      <c r="O7" s="22">
        <v>2018</v>
      </c>
      <c r="P7" s="22">
        <v>2019</v>
      </c>
      <c r="Q7" s="22">
        <v>2020</v>
      </c>
      <c r="R7" s="22">
        <v>2021</v>
      </c>
      <c r="S7" s="22">
        <v>2022</v>
      </c>
      <c r="T7" s="22">
        <v>2023</v>
      </c>
      <c r="U7" s="22">
        <v>2024</v>
      </c>
      <c r="V7" s="22" t="s">
        <v>109</v>
      </c>
    </row>
    <row r="8" spans="1:25">
      <c r="A8" s="59" t="s">
        <v>38</v>
      </c>
      <c r="B8" s="60" t="s">
        <v>1</v>
      </c>
      <c r="C8" s="60" t="s">
        <v>1</v>
      </c>
      <c r="D8" s="60" t="s">
        <v>1</v>
      </c>
      <c r="E8" s="60" t="s">
        <v>1</v>
      </c>
      <c r="F8" s="60" t="s">
        <v>1</v>
      </c>
      <c r="G8" s="60">
        <v>22.729461619955696</v>
      </c>
      <c r="H8" s="60">
        <v>18.479509766373038</v>
      </c>
      <c r="I8" s="60">
        <v>22.312182263227264</v>
      </c>
      <c r="J8" s="60">
        <v>18</v>
      </c>
      <c r="K8" s="60">
        <v>13</v>
      </c>
      <c r="L8" s="60">
        <v>17.997990072174677</v>
      </c>
      <c r="M8" s="60">
        <v>17.3</v>
      </c>
      <c r="N8" s="60">
        <v>16</v>
      </c>
      <c r="O8" s="60">
        <v>16.2</v>
      </c>
      <c r="P8" s="60">
        <v>13.142690251552365</v>
      </c>
      <c r="Q8" s="60">
        <v>12.655763239875389</v>
      </c>
      <c r="R8" s="60">
        <v>10.992246540386692</v>
      </c>
      <c r="S8" s="60">
        <v>9.9900099900099892</v>
      </c>
      <c r="T8" s="65" t="s">
        <v>1</v>
      </c>
      <c r="U8" s="65" t="s">
        <v>1</v>
      </c>
      <c r="V8" s="65" t="s">
        <v>1</v>
      </c>
    </row>
    <row r="9" spans="1:25">
      <c r="A9" s="59" t="s">
        <v>39</v>
      </c>
      <c r="B9" s="60" t="s">
        <v>1</v>
      </c>
      <c r="C9" s="60" t="s">
        <v>1</v>
      </c>
      <c r="D9" s="60" t="s">
        <v>1</v>
      </c>
      <c r="E9" s="60" t="s">
        <v>1</v>
      </c>
      <c r="F9" s="60" t="s">
        <v>1</v>
      </c>
      <c r="G9" s="60">
        <v>99.402953807478809</v>
      </c>
      <c r="H9" s="60">
        <v>99.162303664921467</v>
      </c>
      <c r="I9" s="60">
        <v>100.87813236239023</v>
      </c>
      <c r="J9" s="60">
        <v>95</v>
      </c>
      <c r="K9" s="60">
        <v>95</v>
      </c>
      <c r="L9" s="60">
        <v>92.80451481423421</v>
      </c>
      <c r="M9" s="60">
        <v>83.952312589725977</v>
      </c>
      <c r="N9" s="60">
        <v>84.486634491428802</v>
      </c>
      <c r="O9" s="60">
        <v>82.483612527312459</v>
      </c>
      <c r="P9" s="60">
        <v>87.37104763323525</v>
      </c>
      <c r="Q9" s="60">
        <v>77.631141177775305</v>
      </c>
      <c r="R9" s="60">
        <v>72.761194029850742</v>
      </c>
      <c r="S9" s="60">
        <v>67.554400779473866</v>
      </c>
      <c r="T9" s="66" t="s">
        <v>1</v>
      </c>
      <c r="U9" s="66" t="s">
        <v>1</v>
      </c>
      <c r="V9" s="66" t="s">
        <v>1</v>
      </c>
    </row>
    <row r="10" spans="1:25">
      <c r="A10" s="59" t="s">
        <v>40</v>
      </c>
      <c r="B10" s="60" t="s">
        <v>1</v>
      </c>
      <c r="C10" s="60" t="s">
        <v>1</v>
      </c>
      <c r="D10" s="60" t="s">
        <v>1</v>
      </c>
      <c r="E10" s="60" t="s">
        <v>1</v>
      </c>
      <c r="F10" s="60" t="s">
        <v>1</v>
      </c>
      <c r="G10" s="60">
        <v>125.26050235823189</v>
      </c>
      <c r="H10" s="60">
        <v>117.6659873431299</v>
      </c>
      <c r="I10" s="60">
        <v>122.83809126901438</v>
      </c>
      <c r="J10" s="60">
        <v>119</v>
      </c>
      <c r="K10" s="60">
        <v>123</v>
      </c>
      <c r="L10" s="60">
        <v>112.16596915761532</v>
      </c>
      <c r="M10" s="60">
        <v>117.94639158990947</v>
      </c>
      <c r="N10" s="60">
        <v>111.42665496447628</v>
      </c>
      <c r="O10" s="60">
        <v>109.43109987357775</v>
      </c>
      <c r="P10" s="60">
        <v>116.98731774652745</v>
      </c>
      <c r="Q10" s="60">
        <v>106.66666666666667</v>
      </c>
      <c r="R10" s="60">
        <v>112.26330027051398</v>
      </c>
      <c r="S10" s="60">
        <v>115.6216020297209</v>
      </c>
      <c r="T10" s="66" t="s">
        <v>1</v>
      </c>
      <c r="U10" s="66" t="s">
        <v>1</v>
      </c>
      <c r="V10" s="66" t="s">
        <v>1</v>
      </c>
    </row>
    <row r="11" spans="1:25">
      <c r="A11" s="59" t="s">
        <v>41</v>
      </c>
      <c r="B11" s="60" t="s">
        <v>1</v>
      </c>
      <c r="C11" s="60" t="s">
        <v>1</v>
      </c>
      <c r="D11" s="60" t="s">
        <v>1</v>
      </c>
      <c r="E11" s="60" t="s">
        <v>1</v>
      </c>
      <c r="F11" s="60" t="s">
        <v>1</v>
      </c>
      <c r="G11" s="60">
        <v>111.30027665460736</v>
      </c>
      <c r="H11" s="60">
        <v>108.49056603773585</v>
      </c>
      <c r="I11" s="60">
        <v>119.68874782430633</v>
      </c>
      <c r="J11" s="60">
        <v>116</v>
      </c>
      <c r="K11" s="60">
        <v>115</v>
      </c>
      <c r="L11" s="60">
        <v>102.74712681313646</v>
      </c>
      <c r="M11" s="60">
        <v>112.97786984110336</v>
      </c>
      <c r="N11" s="60">
        <v>105.5451867362931</v>
      </c>
      <c r="O11" s="60">
        <v>111.98401437144457</v>
      </c>
      <c r="P11" s="60">
        <v>110.89285195901029</v>
      </c>
      <c r="Q11" s="60">
        <v>112.18903083277303</v>
      </c>
      <c r="R11" s="60">
        <v>112.63789432939811</v>
      </c>
      <c r="S11" s="60">
        <v>107.74180967238689</v>
      </c>
      <c r="T11" s="66" t="s">
        <v>1</v>
      </c>
      <c r="U11" s="66" t="s">
        <v>1</v>
      </c>
      <c r="V11" s="66" t="s">
        <v>1</v>
      </c>
    </row>
    <row r="12" spans="1:25">
      <c r="A12" s="59" t="s">
        <v>42</v>
      </c>
      <c r="B12" s="60" t="s">
        <v>1</v>
      </c>
      <c r="C12" s="60" t="s">
        <v>1</v>
      </c>
      <c r="D12" s="60" t="s">
        <v>1</v>
      </c>
      <c r="E12" s="60" t="s">
        <v>1</v>
      </c>
      <c r="F12" s="60" t="s">
        <v>1</v>
      </c>
      <c r="G12" s="60">
        <v>63.528245787908816</v>
      </c>
      <c r="H12" s="60">
        <v>65.165165165165163</v>
      </c>
      <c r="I12" s="60">
        <v>66.282711932908967</v>
      </c>
      <c r="J12" s="60">
        <v>65</v>
      </c>
      <c r="K12" s="60">
        <v>66</v>
      </c>
      <c r="L12" s="60">
        <v>67.363841713377397</v>
      </c>
      <c r="M12" s="60">
        <v>70.827447625489938</v>
      </c>
      <c r="N12" s="60">
        <v>68.080475634356077</v>
      </c>
      <c r="O12" s="60">
        <v>69.153374071277113</v>
      </c>
      <c r="P12" s="60">
        <v>67.226724844272908</v>
      </c>
      <c r="Q12" s="60">
        <v>74.486977111286507</v>
      </c>
      <c r="R12" s="60">
        <v>74.628335138328239</v>
      </c>
      <c r="S12" s="60">
        <v>71.721711940590197</v>
      </c>
      <c r="T12" s="66" t="s">
        <v>1</v>
      </c>
      <c r="U12" s="66" t="s">
        <v>1</v>
      </c>
      <c r="V12" s="66" t="s">
        <v>1</v>
      </c>
    </row>
    <row r="13" spans="1:25">
      <c r="A13" s="59" t="s">
        <v>43</v>
      </c>
      <c r="B13" s="60" t="s">
        <v>1</v>
      </c>
      <c r="C13" s="60" t="s">
        <v>1</v>
      </c>
      <c r="D13" s="60" t="s">
        <v>1</v>
      </c>
      <c r="E13" s="60" t="s">
        <v>1</v>
      </c>
      <c r="F13" s="60" t="s">
        <v>1</v>
      </c>
      <c r="G13" s="60">
        <v>16.866447438209399</v>
      </c>
      <c r="H13" s="60">
        <v>18.834911486208316</v>
      </c>
      <c r="I13" s="60">
        <v>19.430182220879896</v>
      </c>
      <c r="J13" s="60">
        <v>20</v>
      </c>
      <c r="K13" s="60">
        <v>19</v>
      </c>
      <c r="L13" s="60">
        <v>22.248038575998216</v>
      </c>
      <c r="M13" s="60">
        <v>19.769038197528875</v>
      </c>
      <c r="N13" s="60">
        <v>20.284508281199741</v>
      </c>
      <c r="O13" s="60">
        <v>21.421786900375221</v>
      </c>
      <c r="P13" s="60">
        <v>22.695453036158685</v>
      </c>
      <c r="Q13" s="60">
        <v>23.614707405489384</v>
      </c>
      <c r="R13" s="60">
        <v>23.132036847492323</v>
      </c>
      <c r="S13" s="60">
        <v>27.670002042066571</v>
      </c>
      <c r="T13" s="66" t="s">
        <v>1</v>
      </c>
      <c r="U13" s="66" t="s">
        <v>1</v>
      </c>
      <c r="V13" s="66" t="s">
        <v>1</v>
      </c>
    </row>
    <row r="14" spans="1:25">
      <c r="A14" s="59" t="s">
        <v>44</v>
      </c>
      <c r="B14" s="60" t="s">
        <v>1</v>
      </c>
      <c r="C14" s="60" t="s">
        <v>1</v>
      </c>
      <c r="D14" s="60" t="s">
        <v>1</v>
      </c>
      <c r="E14" s="60" t="s">
        <v>1</v>
      </c>
      <c r="F14" s="60" t="s">
        <v>1</v>
      </c>
      <c r="G14" s="60">
        <v>0.61109753116597409</v>
      </c>
      <c r="H14" s="60">
        <v>1.5390079318101102</v>
      </c>
      <c r="I14" s="60">
        <v>1.4784487660639145</v>
      </c>
      <c r="J14" s="60">
        <v>1</v>
      </c>
      <c r="K14" s="60">
        <v>1</v>
      </c>
      <c r="L14" s="60">
        <v>0.8</v>
      </c>
      <c r="M14" s="60">
        <v>1.8435256403691149</v>
      </c>
      <c r="N14" s="60">
        <v>1.9</v>
      </c>
      <c r="O14" s="60">
        <v>0.98769659277598731</v>
      </c>
      <c r="P14" s="60">
        <v>1.2</v>
      </c>
      <c r="Q14" s="60">
        <v>1.7931858936043037</v>
      </c>
      <c r="R14" s="60">
        <v>1.2100433598870628</v>
      </c>
      <c r="S14" s="60">
        <v>1.3485477178423235</v>
      </c>
      <c r="T14" s="66" t="s">
        <v>1</v>
      </c>
      <c r="U14" s="66" t="s">
        <v>1</v>
      </c>
      <c r="V14" s="66" t="s">
        <v>1</v>
      </c>
    </row>
    <row r="15" spans="1:25">
      <c r="A15" s="61" t="s">
        <v>36</v>
      </c>
      <c r="B15" s="62" t="s">
        <v>1</v>
      </c>
      <c r="C15" s="62" t="s">
        <v>1</v>
      </c>
      <c r="D15" s="62" t="s">
        <v>1</v>
      </c>
      <c r="E15" s="62" t="s">
        <v>1</v>
      </c>
      <c r="F15" s="62" t="s">
        <v>1</v>
      </c>
      <c r="G15" s="62">
        <v>63.164999999999999</v>
      </c>
      <c r="H15" s="62">
        <v>61.468437546634824</v>
      </c>
      <c r="I15" s="62">
        <v>64.593512686171778</v>
      </c>
      <c r="J15" s="62">
        <v>60.8</v>
      </c>
      <c r="K15" s="62">
        <v>59.9</v>
      </c>
      <c r="L15" s="62">
        <v>59.074901976446142</v>
      </c>
      <c r="M15" s="62">
        <v>60.360523755797331</v>
      </c>
      <c r="N15" s="62">
        <v>57.803577748204567</v>
      </c>
      <c r="O15" s="62">
        <v>58.176858411546988</v>
      </c>
      <c r="P15" s="62">
        <v>59.2</v>
      </c>
      <c r="Q15" s="62">
        <v>58</v>
      </c>
      <c r="R15" s="62">
        <v>57.6</v>
      </c>
      <c r="S15" s="62">
        <v>56.4</v>
      </c>
      <c r="T15" s="62" t="s">
        <v>1</v>
      </c>
      <c r="U15" s="62" t="s">
        <v>1</v>
      </c>
      <c r="V15" s="62" t="s">
        <v>1</v>
      </c>
    </row>
    <row r="16" spans="1:25">
      <c r="B16" s="25"/>
      <c r="C16" s="25"/>
      <c r="D16" s="25"/>
      <c r="E16" s="25"/>
      <c r="F16" s="25"/>
    </row>
    <row r="17" spans="1:22">
      <c r="A17" s="11" t="s">
        <v>59</v>
      </c>
      <c r="B17" s="25"/>
      <c r="C17" s="25"/>
      <c r="D17" s="25"/>
      <c r="E17" s="25"/>
      <c r="F17" s="25"/>
    </row>
    <row r="18" spans="1:22">
      <c r="A18" s="1" t="s">
        <v>112</v>
      </c>
      <c r="B18" s="25"/>
      <c r="C18" s="25"/>
      <c r="D18" s="25"/>
      <c r="E18" s="25"/>
      <c r="F18" s="25"/>
    </row>
    <row r="19" spans="1:22">
      <c r="A19" s="63"/>
      <c r="B19" s="25"/>
      <c r="C19" s="25"/>
      <c r="D19" s="25"/>
      <c r="E19" s="25"/>
      <c r="F19" s="25"/>
    </row>
    <row r="20" spans="1:22" ht="31.5">
      <c r="A20" s="10" t="s">
        <v>66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</row>
    <row r="21" spans="1:22" ht="19.5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</row>
    <row r="22" spans="1:22" ht="17.25">
      <c r="A22" s="22"/>
      <c r="B22" s="22">
        <v>2005</v>
      </c>
      <c r="C22" s="22">
        <v>2006</v>
      </c>
      <c r="D22" s="22">
        <v>2007</v>
      </c>
      <c r="E22" s="22">
        <v>2008</v>
      </c>
      <c r="F22" s="22">
        <v>2009</v>
      </c>
      <c r="G22" s="22">
        <v>2010</v>
      </c>
      <c r="H22" s="22">
        <v>2011</v>
      </c>
      <c r="I22" s="22">
        <v>2012</v>
      </c>
      <c r="J22" s="22">
        <v>2013</v>
      </c>
      <c r="K22" s="22">
        <v>2014</v>
      </c>
      <c r="L22" s="22">
        <v>2015</v>
      </c>
      <c r="M22" s="22">
        <v>2016</v>
      </c>
      <c r="N22" s="22">
        <v>2017</v>
      </c>
      <c r="O22" s="22">
        <v>2018</v>
      </c>
      <c r="P22" s="22">
        <v>2019</v>
      </c>
      <c r="Q22" s="22">
        <v>2020</v>
      </c>
      <c r="R22" s="22">
        <v>2021</v>
      </c>
      <c r="S22" s="22">
        <v>2022</v>
      </c>
      <c r="T22" s="22">
        <v>2023</v>
      </c>
      <c r="U22" s="22">
        <v>2024</v>
      </c>
      <c r="V22" s="22" t="s">
        <v>109</v>
      </c>
    </row>
    <row r="23" spans="1:22" s="32" customFormat="1" ht="63">
      <c r="A23" s="73" t="s">
        <v>98</v>
      </c>
      <c r="B23" s="65" t="s">
        <v>1</v>
      </c>
      <c r="C23" s="65" t="s">
        <v>1</v>
      </c>
      <c r="D23" s="65" t="s">
        <v>1</v>
      </c>
      <c r="E23" s="65" t="s">
        <v>1</v>
      </c>
      <c r="F23" s="65" t="s">
        <v>1</v>
      </c>
      <c r="G23" s="65">
        <v>2.2000000000000002</v>
      </c>
      <c r="H23" s="65">
        <v>2.15</v>
      </c>
      <c r="I23" s="65">
        <v>2.2799999999999998</v>
      </c>
      <c r="J23" s="65">
        <v>2.19</v>
      </c>
      <c r="K23" s="65">
        <v>2.17</v>
      </c>
      <c r="L23" s="65">
        <v>2.08</v>
      </c>
      <c r="M23" s="65">
        <v>2.13</v>
      </c>
      <c r="N23" s="65">
        <v>2.04</v>
      </c>
      <c r="O23" s="65">
        <v>2.06</v>
      </c>
      <c r="P23" s="65">
        <v>2.1</v>
      </c>
      <c r="Q23" s="65">
        <v>2.0452196325292595</v>
      </c>
      <c r="R23" s="65">
        <v>2.0518907845969245</v>
      </c>
      <c r="S23" s="65">
        <v>2.0160744448946422</v>
      </c>
      <c r="T23" s="65" t="s">
        <v>1</v>
      </c>
      <c r="U23" s="65" t="s">
        <v>1</v>
      </c>
      <c r="V23" s="65" t="s">
        <v>1</v>
      </c>
    </row>
    <row r="24" spans="1:22" s="32" customFormat="1" ht="40.5" customHeight="1">
      <c r="A24" s="73" t="s">
        <v>47</v>
      </c>
      <c r="B24" s="66" t="s">
        <v>1</v>
      </c>
      <c r="C24" s="66" t="s">
        <v>1</v>
      </c>
      <c r="D24" s="66" t="s">
        <v>1</v>
      </c>
      <c r="E24" s="66" t="s">
        <v>1</v>
      </c>
      <c r="F24" s="66" t="s">
        <v>1</v>
      </c>
      <c r="G24" s="66">
        <v>28.7</v>
      </c>
      <c r="H24" s="66">
        <v>29</v>
      </c>
      <c r="I24" s="66">
        <v>28.9</v>
      </c>
      <c r="J24" s="66">
        <v>28.9</v>
      </c>
      <c r="K24" s="66">
        <v>29.1</v>
      </c>
      <c r="L24" s="66">
        <v>29.1</v>
      </c>
      <c r="M24" s="66">
        <v>29.4</v>
      </c>
      <c r="N24" s="66">
        <v>29.3</v>
      </c>
      <c r="O24" s="66">
        <v>29.4</v>
      </c>
      <c r="P24" s="66">
        <v>29.4</v>
      </c>
      <c r="Q24" s="66">
        <v>29.900473340029841</v>
      </c>
      <c r="R24" s="66">
        <v>29.9</v>
      </c>
      <c r="S24" s="66">
        <v>30.1</v>
      </c>
      <c r="T24" s="66">
        <v>29.84</v>
      </c>
      <c r="U24" s="66">
        <v>29.96</v>
      </c>
      <c r="V24" s="66">
        <v>30.14</v>
      </c>
    </row>
    <row r="25" spans="1:22" s="32" customFormat="1" ht="40.5" customHeight="1">
      <c r="A25" s="67" t="s">
        <v>48</v>
      </c>
      <c r="B25" s="68" t="s">
        <v>1</v>
      </c>
      <c r="C25" s="68" t="s">
        <v>1</v>
      </c>
      <c r="D25" s="68" t="s">
        <v>1</v>
      </c>
      <c r="E25" s="74" t="s">
        <v>1</v>
      </c>
      <c r="F25" s="68" t="s">
        <v>1</v>
      </c>
      <c r="G25" s="69">
        <v>66144</v>
      </c>
      <c r="H25" s="69">
        <v>66275</v>
      </c>
      <c r="I25" s="69">
        <v>67170.5</v>
      </c>
      <c r="J25" s="69">
        <v>69022</v>
      </c>
      <c r="K25" s="69">
        <v>70166</v>
      </c>
      <c r="L25" s="69">
        <v>70945</v>
      </c>
      <c r="M25" s="69">
        <v>70760</v>
      </c>
      <c r="N25" s="69">
        <v>70362</v>
      </c>
      <c r="O25" s="69">
        <v>69998</v>
      </c>
      <c r="P25" s="69">
        <v>69426</v>
      </c>
      <c r="Q25" s="69">
        <v>68793</v>
      </c>
      <c r="R25" s="69">
        <v>68236</v>
      </c>
      <c r="S25" s="69">
        <v>67448</v>
      </c>
      <c r="T25" s="74" t="s">
        <v>1</v>
      </c>
      <c r="U25" s="74" t="s">
        <v>1</v>
      </c>
      <c r="V25" s="74" t="s">
        <v>1</v>
      </c>
    </row>
    <row r="26" spans="1:22">
      <c r="B26" s="70"/>
      <c r="C26" s="70"/>
      <c r="D26" s="70"/>
      <c r="E26" s="71"/>
      <c r="F26" s="70"/>
    </row>
    <row r="27" spans="1:22">
      <c r="A27" s="11" t="s">
        <v>56</v>
      </c>
      <c r="B27" s="70"/>
      <c r="C27" s="70"/>
      <c r="D27" s="70"/>
      <c r="E27" s="71"/>
      <c r="F27" s="70"/>
    </row>
    <row r="28" spans="1:22">
      <c r="A28" s="1" t="s">
        <v>112</v>
      </c>
      <c r="B28" s="70"/>
      <c r="C28" s="70"/>
      <c r="D28" s="70"/>
      <c r="E28" s="71"/>
      <c r="F28" s="70"/>
    </row>
    <row r="29" spans="1:22">
      <c r="B29" s="70"/>
      <c r="C29" s="70"/>
      <c r="D29" s="70"/>
      <c r="E29" s="71"/>
      <c r="F29" s="70"/>
    </row>
    <row r="30" spans="1:22">
      <c r="B30" s="70"/>
      <c r="C30" s="70"/>
      <c r="D30" s="70"/>
      <c r="E30" s="71"/>
      <c r="F30" s="70"/>
    </row>
    <row r="31" spans="1:22">
      <c r="B31" s="70"/>
      <c r="C31" s="70"/>
      <c r="D31" s="70"/>
      <c r="E31" s="71"/>
      <c r="F31" s="70"/>
    </row>
    <row r="32" spans="1:22">
      <c r="B32" s="70"/>
      <c r="C32" s="70"/>
      <c r="D32" s="70"/>
      <c r="E32" s="71"/>
      <c r="F32" s="70"/>
    </row>
    <row r="33" spans="2:6">
      <c r="B33" s="70"/>
      <c r="C33" s="70"/>
      <c r="D33" s="70"/>
      <c r="E33" s="71"/>
      <c r="F33" s="70"/>
    </row>
    <row r="34" spans="2:6">
      <c r="B34" s="70"/>
      <c r="C34" s="70"/>
      <c r="D34" s="70"/>
      <c r="E34" s="71"/>
      <c r="F34" s="70"/>
    </row>
  </sheetData>
  <sheetProtection algorithmName="SHA-512" hashValue="jzYZZ8fIRtURx8pkfS8Hi0NZ6kQbXIOxrnvfSjoeQ0ZaegW1mr1GTAgLhGS1q5JdlYbnMDphH8FyxUVe20gVlg==" saltValue="XWwAEtscMbCCe8Qh4iKJhQ==" spinCount="100000" sheet="1" objects="1" scenarios="1"/>
  <pageMargins left="0.70866141732283472" right="0.70866141732283472" top="0.74803149606299213" bottom="0.74803149606299213" header="0.31496062992125984" footer="0.31496062992125984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Sommaire</vt:lpstr>
      <vt:lpstr>Fécondité</vt:lpstr>
      <vt:lpstr>Naissances_mois</vt:lpstr>
      <vt:lpstr>Naissances_statut</vt:lpstr>
      <vt:lpstr>Naissances_commune domicile</vt:lpstr>
      <vt:lpstr>Naissances_âge de la mère</vt:lpstr>
      <vt:lpstr>Taux Fécondité_âge de la mère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Laeticia Gooding</dc:creator>
  <cp:lastModifiedBy>Tara Maperi</cp:lastModifiedBy>
  <cp:lastPrinted>2021-10-17T23:55:40Z</cp:lastPrinted>
  <dcterms:created xsi:type="dcterms:W3CDTF">2021-07-09T03:55:06Z</dcterms:created>
  <dcterms:modified xsi:type="dcterms:W3CDTF">2026-06-01T02:56:07Z</dcterms:modified>
</cp:coreProperties>
</file>